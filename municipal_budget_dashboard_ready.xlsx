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992c8f3b8b06ae/Desktop/AMIN PROJECT/"/>
    </mc:Choice>
  </mc:AlternateContent>
  <xr:revisionPtr revIDLastSave="0" documentId="8_{89374141-A095-4CE7-8024-5BB3F55749F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" sheetId="1" r:id="rId1"/>
    <sheet name="Dashboard" sheetId="2" r:id="rId2"/>
    <sheet name="Master_Data" sheetId="3" r:id="rId3"/>
    <sheet name="City_Year_Summary" sheetId="4" r:id="rId4"/>
    <sheet name="Category_Summary" sheetId="5" r:id="rId5"/>
    <sheet name="Coverage" sheetId="6" r:id="rId6"/>
    <sheet name="Category_Map" sheetId="7" r:id="rId7"/>
    <sheet name="Data_Quality" sheetId="8" r:id="rId8"/>
  </sheets>
  <definedNames>
    <definedName name="_xlnm._FilterDatabase" localSheetId="6" hidden="1">Category_Map!$A$1:$E$55</definedName>
    <definedName name="_xlnm._FilterDatabase" localSheetId="4" hidden="1">Category_Summary!$A$1:$G$17</definedName>
    <definedName name="_xlnm._FilterDatabase" localSheetId="3" hidden="1">City_Year_Summary!$A$1:$H$12</definedName>
    <definedName name="_xlnm._FilterDatabase" localSheetId="5" hidden="1">Coverage!$A$1:$E$21</definedName>
    <definedName name="_xlnm._FilterDatabase" localSheetId="7" hidden="1">Data_Quality!$A$1:$D$8</definedName>
    <definedName name="_xlnm._FilterDatabase" localSheetId="2" hidden="1">Master_Data!$A$1:$O$182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<sst xmlns="http://schemas.openxmlformats.org/spreadsheetml/2006/main" count="2520" uniqueCount="475">
  <si>
    <t>MUNICIPAL BUDGET DATA — DASHBOARD READY</t>
  </si>
  <si>
    <t>Purpose</t>
  </si>
  <si>
    <t>Clean, standardized master dataset for comparing municipal budget allocation vs expenditure/utilization across Mumbai, Nagpur, Nashik and Pune.</t>
  </si>
  <si>
    <t>Primary dashboard table</t>
  </si>
  <si>
    <t>Master_Data</t>
  </si>
  <si>
    <t>Standard grain</t>
  </si>
  <si>
    <t>One row = one source budget/project record retained in the comparable dataset.</t>
  </si>
  <si>
    <t>Core measures</t>
  </si>
  <si>
    <t>Budget (₹), Used (₹), Remaining (₹), Utilization %</t>
  </si>
  <si>
    <t>Standardization</t>
  </si>
  <si>
    <t>City, year, category terminology, department labels and numeric formats have been normalized.</t>
  </si>
  <si>
    <t>Important rule</t>
  </si>
  <si>
    <t>No financial figures were fabricated. Where data was unavailable, it remains blank or is explicitly documented.</t>
  </si>
  <si>
    <t>Category hierarchy</t>
  </si>
  <si>
    <t>Water Supply; Sanitation / Sewerage; Solid Waste Management; Roads / Infrastructure; Education; Public Health; General Administration; Social Welfare; Public Utilities; Infrastructure; Miscellaneous; Grants; Capital Expenditure.</t>
  </si>
  <si>
    <t>How to build dashboard</t>
  </si>
  <si>
    <t>Use Master_Data for detailed visuals and City_Year_Summary / Category_Summary for fast aggregated charts.</t>
  </si>
  <si>
    <t>Recommended KPIs</t>
  </si>
  <si>
    <t>Total Budget, Total Used, Total Remaining, Overall Utilization %, Over-Budget Records, Cities Covered, Years Covered.</t>
  </si>
  <si>
    <t>Coverage warning</t>
  </si>
  <si>
    <t>The four cities do not have identical year coverage in the supplied source workbook. See Coverage sheet before making year-on-year city comparisons.</t>
  </si>
  <si>
    <t>Quality controls</t>
  </si>
  <si>
    <t>See Data_Quality for exclusions, source limitations, missing GL codes, partial-year data and transformations.</t>
  </si>
  <si>
    <t>MUNICIPAL BUDGET vs ACTUAL — DASHBOARD BASE</t>
  </si>
  <si>
    <t>Total Budget</t>
  </si>
  <si>
    <t>Total Used</t>
  </si>
  <si>
    <t>Remaining</t>
  </si>
  <si>
    <t>Overall Utilization</t>
  </si>
  <si>
    <t>Over-Budget Records</t>
  </si>
  <si>
    <t>City-Year Utilization</t>
  </si>
  <si>
    <t>Year</t>
  </si>
  <si>
    <t>Mumbai</t>
  </si>
  <si>
    <t>Nagpur</t>
  </si>
  <si>
    <t>Nashik</t>
  </si>
  <si>
    <t>Pune</t>
  </si>
  <si>
    <t>2021-22</t>
  </si>
  <si>
    <t>2022-23</t>
  </si>
  <si>
    <t>2023-24</t>
  </si>
  <si>
    <t>2024-25</t>
  </si>
  <si>
    <t>2025-26</t>
  </si>
  <si>
    <t>Category Summary</t>
  </si>
  <si>
    <t>Category</t>
  </si>
  <si>
    <t>Budget (₹)</t>
  </si>
  <si>
    <t>Used (₹)</t>
  </si>
  <si>
    <t>Utilization %</t>
  </si>
  <si>
    <t>Total / Aggregate</t>
  </si>
  <si>
    <t>Public Health</t>
  </si>
  <si>
    <t>Roads / Infrastructure</t>
  </si>
  <si>
    <t>Water Supply</t>
  </si>
  <si>
    <t>Capital Expenditure</t>
  </si>
  <si>
    <t>General Administration</t>
  </si>
  <si>
    <t>Sanitation / Sewerage</t>
  </si>
  <si>
    <t>Solid Waste Management</t>
  </si>
  <si>
    <t>Education</t>
  </si>
  <si>
    <t>Public Safety</t>
  </si>
  <si>
    <t>Social Welfare</t>
  </si>
  <si>
    <t>Miscellaneous</t>
  </si>
  <si>
    <t>Use the Coverage and Data_Quality sheets before making cross-city comparisons.</t>
  </si>
  <si>
    <t>Public Utilities</t>
  </si>
  <si>
    <t>Drainage – Capital</t>
  </si>
  <si>
    <t>Grants</t>
  </si>
  <si>
    <t>Record ID</t>
  </si>
  <si>
    <t>City</t>
  </si>
  <si>
    <t>Standard Category</t>
  </si>
  <si>
    <t>Source Category</t>
  </si>
  <si>
    <t>Department</t>
  </si>
  <si>
    <t>GL Code</t>
  </si>
  <si>
    <t>Account / Project</t>
  </si>
  <si>
    <t>Remaining (₹)</t>
  </si>
  <si>
    <t>Utilization Status</t>
  </si>
  <si>
    <t>Data Quality</t>
  </si>
  <si>
    <t>Source Sheet</t>
  </si>
  <si>
    <t>NAG-0001</t>
  </si>
  <si>
    <t>Not specified</t>
  </si>
  <si>
    <t>Electricity Costs</t>
  </si>
  <si>
    <t>Very High</t>
  </si>
  <si>
    <t>OK</t>
  </si>
  <si>
    <t>NAGPUR FINAL</t>
  </si>
  <si>
    <t>NAG-0002</t>
  </si>
  <si>
    <t>Water Charges for Administrative &amp; Other Buildings</t>
  </si>
  <si>
    <t>High</t>
  </si>
  <si>
    <t>NAG-0003</t>
  </si>
  <si>
    <t>Cost of Taking Water from Pench Project</t>
  </si>
  <si>
    <t>NAG-0004</t>
  </si>
  <si>
    <t>Minor Expenditure on Pench Project &amp; JNNURM</t>
  </si>
  <si>
    <t>NAG-0005</t>
  </si>
  <si>
    <t>Water Works / PHE Total</t>
  </si>
  <si>
    <t>NAG-0006</t>
  </si>
  <si>
    <t>Materials for Maintenance of Sewage Drains</t>
  </si>
  <si>
    <t>Low</t>
  </si>
  <si>
    <t>NAG-0007</t>
  </si>
  <si>
    <t>Sewage Maintenance / Repairs (Septic Tank)</t>
  </si>
  <si>
    <t>Not Used</t>
  </si>
  <si>
    <t>NAG-0008</t>
  </si>
  <si>
    <t>Sewage Treatment Plants – Bhandewadi &amp; Other STPs</t>
  </si>
  <si>
    <t>Over Budget</t>
  </si>
  <si>
    <t>Over budget</t>
  </si>
  <si>
    <t>NAG-0009</t>
  </si>
  <si>
    <t>Master Plan – Sewerage &amp; Rainwater Drainage</t>
  </si>
  <si>
    <t>Moderate</t>
  </si>
  <si>
    <t>NAG-0010</t>
  </si>
  <si>
    <t>Small Storm Drainage Centre – Narsala/NHUDakeshwar etc.</t>
  </si>
  <si>
    <t>NAG-0011</t>
  </si>
  <si>
    <t>AMRUT 2 – South Sewerage Area</t>
  </si>
  <si>
    <t>NAG-0012</t>
  </si>
  <si>
    <t>Sanitation &amp; Solid Waste Management Establishment</t>
  </si>
  <si>
    <t>NAG-0013</t>
  </si>
  <si>
    <t>Cleaning of Ponds, Major Drains &amp; Underground Drains</t>
  </si>
  <si>
    <t>NAG-0014</t>
  </si>
  <si>
    <t>Transportation of Raw Materials</t>
  </si>
  <si>
    <t>NAG-0015</t>
  </si>
  <si>
    <t>Swachh Bharat Abhiyan</t>
  </si>
  <si>
    <t>NAG-0016</t>
  </si>
  <si>
    <t>Scientific Implementation of Urban SWM &amp; Other Projects</t>
  </si>
  <si>
    <t>NAG-0017</t>
  </si>
  <si>
    <t>Containers / Wheelbarrows / Bell Carts</t>
  </si>
  <si>
    <t>NAG-0018</t>
  </si>
  <si>
    <t>Road Cleaning &amp; Scavenging – Cleaning Equipment</t>
  </si>
  <si>
    <t>NAG-0019</t>
  </si>
  <si>
    <t>Road Improvement Program – Asphalting/Maintenance/Repair</t>
  </si>
  <si>
    <t>NAG-0020</t>
  </si>
  <si>
    <t>Asphalt &amp; Concrete Roads – Maintenance/Repair</t>
  </si>
  <si>
    <t>NAG-0021</t>
  </si>
  <si>
    <t>Repair of Cement Concrete Roads</t>
  </si>
  <si>
    <t>NAG-0022</t>
  </si>
  <si>
    <t>Construction of New Bridges</t>
  </si>
  <si>
    <t>NAG-0023</t>
  </si>
  <si>
    <t>Construction &amp; Improvement of Roads incl. Sidewalks</t>
  </si>
  <si>
    <t>NAG-0024</t>
  </si>
  <si>
    <t>Construction of Roads</t>
  </si>
  <si>
    <t>NAG-0025</t>
  </si>
  <si>
    <t>Primary School Building Repair/Renovation</t>
  </si>
  <si>
    <t>NAG-0026</t>
  </si>
  <si>
    <t>Secondary School Building Repair/Renovation</t>
  </si>
  <si>
    <t>NAG-0027</t>
  </si>
  <si>
    <t>Primary School Establishment</t>
  </si>
  <si>
    <t>NAG-0028</t>
  </si>
  <si>
    <t>Secondary School Establishment</t>
  </si>
  <si>
    <t>NAG-0029</t>
  </si>
  <si>
    <t>Primary School Expansion &amp; Construction</t>
  </si>
  <si>
    <t>NAG-0030</t>
  </si>
  <si>
    <t>Primary School Building – Rani Durgavati Nagar</t>
  </si>
  <si>
    <t>NAG-0031</t>
  </si>
  <si>
    <t>Secondary School Expansion &amp; Construction</t>
  </si>
  <si>
    <t>NAG-0032</t>
  </si>
  <si>
    <t>New Primary School Equipment/Furniture</t>
  </si>
  <si>
    <t>NAG-0033</t>
  </si>
  <si>
    <t>Health Centre Establishment</t>
  </si>
  <si>
    <t>NAG-0034</t>
  </si>
  <si>
    <t>Hospitals/Dispensaries/Nursing/Child Care Establishment</t>
  </si>
  <si>
    <t>NAG-0035</t>
  </si>
  <si>
    <t>Public Health Services &amp; Diagnostic Camps</t>
  </si>
  <si>
    <t>NAG-0036</t>
  </si>
  <si>
    <t>School Student Health Screening</t>
  </si>
  <si>
    <t>NAG-0037</t>
  </si>
  <si>
    <t>Malaria Prevention</t>
  </si>
  <si>
    <t>NAG-0038</t>
  </si>
  <si>
    <t>Filarial Disease Prevention</t>
  </si>
  <si>
    <t>NAG-0039</t>
  </si>
  <si>
    <t>COVID-19, Cholera &amp; Other Infectious Diseases</t>
  </si>
  <si>
    <t>NAG-0040</t>
  </si>
  <si>
    <t>Hospital Construction &amp; Expansion</t>
  </si>
  <si>
    <t>NAG-0041</t>
  </si>
  <si>
    <t>Medical Equipment – Diagnostic Centre</t>
  </si>
  <si>
    <t>NAG-0042</t>
  </si>
  <si>
    <t>Water Works / P.H.E.</t>
  </si>
  <si>
    <t>NAG-0043</t>
  </si>
  <si>
    <t>Electricity Costs – Water Works</t>
  </si>
  <si>
    <t>NAG-0044</t>
  </si>
  <si>
    <t>Cost of Water from Pench Project</t>
  </si>
  <si>
    <t>NAG-0045</t>
  </si>
  <si>
    <t>Sewage Treatment Plants</t>
  </si>
  <si>
    <t>NAG-0046</t>
  </si>
  <si>
    <t>Sewerage Project – South Sewerage Area</t>
  </si>
  <si>
    <t>NAG-0047</t>
  </si>
  <si>
    <t>Construction of New Underground Drains</t>
  </si>
  <si>
    <t>NAG-0048</t>
  </si>
  <si>
    <t>Sanitation &amp; SWM Establishment</t>
  </si>
  <si>
    <t>NAG-0049</t>
  </si>
  <si>
    <t>Scientific Implementation of Urban SWM</t>
  </si>
  <si>
    <t>NAG-0050</t>
  </si>
  <si>
    <t>NAG-0051</t>
  </si>
  <si>
    <t>Road Improvement Program</t>
  </si>
  <si>
    <t>NAG-0052</t>
  </si>
  <si>
    <t>Road Maintenance &amp; Repair</t>
  </si>
  <si>
    <t>NAG-0053</t>
  </si>
  <si>
    <t>Improvement &amp; Construction of Roads</t>
  </si>
  <si>
    <t>NAG-0054</t>
  </si>
  <si>
    <t>Education Department</t>
  </si>
  <si>
    <t>NAG-0055</t>
  </si>
  <si>
    <t>NAG-0056</t>
  </si>
  <si>
    <t>NAG-0057</t>
  </si>
  <si>
    <t>Health (M)</t>
  </si>
  <si>
    <t>NAG-0058</t>
  </si>
  <si>
    <t>NAG-0059</t>
  </si>
  <si>
    <t>Medical Equipment</t>
  </si>
  <si>
    <t>PUN-0060</t>
  </si>
  <si>
    <t>PUNE FINAL</t>
  </si>
  <si>
    <t>PUN-0061</t>
  </si>
  <si>
    <t>Sanitation / Solid Waste Management</t>
  </si>
  <si>
    <t>Sanitation &amp; Solid Waste Management</t>
  </si>
  <si>
    <t>PUN-0062</t>
  </si>
  <si>
    <t>Sewerage</t>
  </si>
  <si>
    <t>PUN-0063</t>
  </si>
  <si>
    <t>Road Maintenance &amp; Lighting</t>
  </si>
  <si>
    <t>PUN-0064</t>
  </si>
  <si>
    <t>PUN-0065</t>
  </si>
  <si>
    <t>Public Health Department</t>
  </si>
  <si>
    <t>PUN-0066</t>
  </si>
  <si>
    <t>General Administration &amp; Tax Collection</t>
  </si>
  <si>
    <t>PUN-0067</t>
  </si>
  <si>
    <t>Infrastructure</t>
  </si>
  <si>
    <t>Planning &amp; Infrastructure Development</t>
  </si>
  <si>
    <t>PUN-0068</t>
  </si>
  <si>
    <t>PUN-0069</t>
  </si>
  <si>
    <t>PUN-0070</t>
  </si>
  <si>
    <t>Miscellaneous Expenditure</t>
  </si>
  <si>
    <t>PUN-0071</t>
  </si>
  <si>
    <t>Capital Expenditure – Uncategorized</t>
  </si>
  <si>
    <t>NAS-0072</t>
  </si>
  <si>
    <t>Nashik Municipal Corporation</t>
  </si>
  <si>
    <t>General Administration &amp; Revenue Recovery</t>
  </si>
  <si>
    <t>NASHIK</t>
  </si>
  <si>
    <t>NAS-0073</t>
  </si>
  <si>
    <t>NAS-0074</t>
  </si>
  <si>
    <t>Public Health &amp; Facilities</t>
  </si>
  <si>
    <t>NAS-0075</t>
  </si>
  <si>
    <t>Public Education</t>
  </si>
  <si>
    <t>NAS-0076</t>
  </si>
  <si>
    <t>NAS-0077</t>
  </si>
  <si>
    <t>NAS-0078</t>
  </si>
  <si>
    <t>Water System Distribution</t>
  </si>
  <si>
    <t>NAS-0079</t>
  </si>
  <si>
    <t>Sewerage System</t>
  </si>
  <si>
    <t>NAS-0080</t>
  </si>
  <si>
    <t>Drainage</t>
  </si>
  <si>
    <t>Drainage System</t>
  </si>
  <si>
    <t>NAS-0081</t>
  </si>
  <si>
    <t>Urban Poor Schemes</t>
  </si>
  <si>
    <t>Schemes for Urban Poor</t>
  </si>
  <si>
    <t>NAS-0082</t>
  </si>
  <si>
    <t>A+C+P</t>
  </si>
  <si>
    <t>Total Capital Expenditure</t>
  </si>
  <si>
    <t>NAS-0083</t>
  </si>
  <si>
    <t>TOTAL</t>
  </si>
  <si>
    <t>Total Budget Expenditure</t>
  </si>
  <si>
    <t>NAS-0084</t>
  </si>
  <si>
    <t>General Administration &amp; Recovery</t>
  </si>
  <si>
    <t>NAS-0085</t>
  </si>
  <si>
    <t>NAS-0086</t>
  </si>
  <si>
    <t>NAS-0087</t>
  </si>
  <si>
    <t>NAS-0088</t>
  </si>
  <si>
    <t>NAS-0089</t>
  </si>
  <si>
    <t>NAS-0090</t>
  </si>
  <si>
    <t>Public Health Engineering</t>
  </si>
  <si>
    <t>NAS-0091</t>
  </si>
  <si>
    <t>NAS-0092</t>
  </si>
  <si>
    <t>NAS-0093</t>
  </si>
  <si>
    <t>Electrical Infrastructure</t>
  </si>
  <si>
    <t>Electricity Capital Expenditure</t>
  </si>
  <si>
    <t>NAS-0094</t>
  </si>
  <si>
    <t>Engineering</t>
  </si>
  <si>
    <t>Construction &amp; Other Capital Expenditure</t>
  </si>
  <si>
    <t>NAS-0095</t>
  </si>
  <si>
    <t>Water Supply Infrastructure</t>
  </si>
  <si>
    <t>Water System Distribution – Capital</t>
  </si>
  <si>
    <t>NAS-0096</t>
  </si>
  <si>
    <t>Sewerage Infrastructure</t>
  </si>
  <si>
    <t>Sewerage System – Capital</t>
  </si>
  <si>
    <t>NAS-0097</t>
  </si>
  <si>
    <t>Drainage Infrastructure</t>
  </si>
  <si>
    <t>Drainage System – Capital</t>
  </si>
  <si>
    <t>NAS-0098</t>
  </si>
  <si>
    <t>Schemes for Urban Poor – Capital</t>
  </si>
  <si>
    <t>NAS-0099</t>
  </si>
  <si>
    <t>General Administration &amp; Recovery Cost/Expenditure</t>
  </si>
  <si>
    <t>NAS-0100</t>
  </si>
  <si>
    <t>NAS-0101</t>
  </si>
  <si>
    <t>NAS-0102</t>
  </si>
  <si>
    <t>NAS-0103</t>
  </si>
  <si>
    <t>Garden</t>
  </si>
  <si>
    <t>Garden Department</t>
  </si>
  <si>
    <t>NAS-0104</t>
  </si>
  <si>
    <t>NAS-0105</t>
  </si>
  <si>
    <t>NAS-0106</t>
  </si>
  <si>
    <t>NAS-0107</t>
  </si>
  <si>
    <t>NAS-0108</t>
  </si>
  <si>
    <t>Urban Poor Schemes – Revenue</t>
  </si>
  <si>
    <t>NAS-0109</t>
  </si>
  <si>
    <t>Electrical Capital</t>
  </si>
  <si>
    <t>Electrical Department</t>
  </si>
  <si>
    <t>Electricity Capital Cost / Expenditure</t>
  </si>
  <si>
    <t>NAS-0110</t>
  </si>
  <si>
    <t>Construction &amp; Infrastructure</t>
  </si>
  <si>
    <t>NAS-0111</t>
  </si>
  <si>
    <t>Water Supply – Capital</t>
  </si>
  <si>
    <t>NAS-0112</t>
  </si>
  <si>
    <t>Sewerage – Capital</t>
  </si>
  <si>
    <t>NAS-0113</t>
  </si>
  <si>
    <t>NAS-0114</t>
  </si>
  <si>
    <t>Urban Poor Schemes – Capital</t>
  </si>
  <si>
    <t>NAS-0115</t>
  </si>
  <si>
    <t>Total Expenditure Heads</t>
  </si>
  <si>
    <t>NAS-0116</t>
  </si>
  <si>
    <t>NAS-0117</t>
  </si>
  <si>
    <t>NAS-0118</t>
  </si>
  <si>
    <t>Public Health &amp; Amenities</t>
  </si>
  <si>
    <t>NAS-0119</t>
  </si>
  <si>
    <t>NAS-0120</t>
  </si>
  <si>
    <t>NAS-0121</t>
  </si>
  <si>
    <t>NAS-0122</t>
  </si>
  <si>
    <t>Water Supply Distribution</t>
  </si>
  <si>
    <t>NAS-0123</t>
  </si>
  <si>
    <t>NAS-0124</t>
  </si>
  <si>
    <t>NAS-0125</t>
  </si>
  <si>
    <t>Electrical Capital Expenditure</t>
  </si>
  <si>
    <t>Not Available</t>
  </si>
  <si>
    <t>Used unavailable; Remaining unavailable</t>
  </si>
  <si>
    <t>NAS-0126</t>
  </si>
  <si>
    <t>Construction &amp; Other Capital</t>
  </si>
  <si>
    <t>NAS-0127</t>
  </si>
  <si>
    <t>Water Supply Capital</t>
  </si>
  <si>
    <t>Water Supply Capital Works</t>
  </si>
  <si>
    <t>NAS-0128</t>
  </si>
  <si>
    <t>Sewerage Capital</t>
  </si>
  <si>
    <t>Sewerage Capital Works</t>
  </si>
  <si>
    <t>NAS-0129</t>
  </si>
  <si>
    <t>Drainage Capital</t>
  </si>
  <si>
    <t>Drainage Capital Works</t>
  </si>
  <si>
    <t>NAS-0130</t>
  </si>
  <si>
    <t>MUM-0131</t>
  </si>
  <si>
    <t>Hydraulic Engineer – Dy.HE (Operations), Outside City Division</t>
  </si>
  <si>
    <t>Hydraulic Engineering</t>
  </si>
  <si>
    <t>504901371</t>
  </si>
  <si>
    <t>Anticorrosive epoxy painting – Upper Vaitarna Main, Pachhapur–Pogaon</t>
  </si>
  <si>
    <t>MUMBAI</t>
  </si>
  <si>
    <t>MUM-0132</t>
  </si>
  <si>
    <t>504901432</t>
  </si>
  <si>
    <t>Anticorrosive epoxy painting – Middle Vaitarna Main, Yewai–Pogaon</t>
  </si>
  <si>
    <t>MUM-0133</t>
  </si>
  <si>
    <t>504901372</t>
  </si>
  <si>
    <t>Anticorrosive epoxy painting – Upper Vaitarna/diversion/Vaitarna mains, Balkum–Mulund</t>
  </si>
  <si>
    <t>MUM-0134</t>
  </si>
  <si>
    <t>504901431</t>
  </si>
  <si>
    <t>Anticorrosive epoxy painting – Vaitarna/Tansa/Upper Vaitarna mains, Kasheli section</t>
  </si>
  <si>
    <t>MUM-0135</t>
  </si>
  <si>
    <t>504901386</t>
  </si>
  <si>
    <t>Anticorrosive epoxy painting – Middle Vaitarna Main &amp; anchor blocks, Aghai–Pachhapur</t>
  </si>
  <si>
    <t>MUM-0136</t>
  </si>
  <si>
    <t>504901379</t>
  </si>
  <si>
    <t>Anticorrosive epoxy painting – Mumbai III-A rising mains, Pise–Panjrapur</t>
  </si>
  <si>
    <t>MUM-0137</t>
  </si>
  <si>
    <t>504901503</t>
  </si>
  <si>
    <t>Repairs/reconstruction of bridges &amp; minor culverts, Yewai Gate–Majiwade</t>
  </si>
  <si>
    <t>MUM-0138</t>
  </si>
  <si>
    <t>504901508</t>
  </si>
  <si>
    <t>Repairs/reconstruction of major/minor culverts, Aghai–Tansa–Atgaon</t>
  </si>
  <si>
    <t>MUM-0139</t>
  </si>
  <si>
    <t>504901504</t>
  </si>
  <si>
    <t>Repairs/reconstruction of culvert, Balkum–Kolshet</t>
  </si>
  <si>
    <t>MUM-0140</t>
  </si>
  <si>
    <t>504901191</t>
  </si>
  <si>
    <t>Staff quarters/office/inspection bungalow/dispensary/workshop at Middle Vaitarna</t>
  </si>
  <si>
    <t>MUM-0141</t>
  </si>
  <si>
    <t>504901442</t>
  </si>
  <si>
    <t>Repairs to thrust block encasing on water trunk mains, Kasheli</t>
  </si>
  <si>
    <t>MUM-0142</t>
  </si>
  <si>
    <t>MUM-0143</t>
  </si>
  <si>
    <t>MUM-0144</t>
  </si>
  <si>
    <t>MUM-0145</t>
  </si>
  <si>
    <t>MUM-0146</t>
  </si>
  <si>
    <t>MUM-0147</t>
  </si>
  <si>
    <t>MUM-0148</t>
  </si>
  <si>
    <t>Repairs to Taharpur bridge at Tansa</t>
  </si>
  <si>
    <t>MUM-0149</t>
  </si>
  <si>
    <t>504901603</t>
  </si>
  <si>
    <t>Road-side railing, Kiniste Phata–Middle Vaitarna</t>
  </si>
  <si>
    <t>MUM-0150</t>
  </si>
  <si>
    <t>504901601</t>
  </si>
  <si>
    <t>Replacement of drainage system and pavement around staff quarters, Balkum/Kapurbawdi</t>
  </si>
  <si>
    <t>MUM-0151</t>
  </si>
  <si>
    <t>504901428</t>
  </si>
  <si>
    <t>Two-lane road, Shantinagar–Kalyan Road</t>
  </si>
  <si>
    <t>MUM-0152</t>
  </si>
  <si>
    <t>Reconstruction of culverts 12, 23, 24 &amp; 25, Tansa–Atgaon</t>
  </si>
  <si>
    <t>MUM-0153</t>
  </si>
  <si>
    <t>504901605</t>
  </si>
  <si>
    <t>Three-layer epoxy coating – New Tansa/Vaitarna mains</t>
  </si>
  <si>
    <t>MUM-0154</t>
  </si>
  <si>
    <t>504901606</t>
  </si>
  <si>
    <t>Three-layer epoxy coating – Mumbai I/II/III rising mains and Vaitarna/New Tansa mains</t>
  </si>
  <si>
    <t>MUM-0155</t>
  </si>
  <si>
    <t>504901663</t>
  </si>
  <si>
    <t>Three-layer epoxy coating – Upper Vaitarna/Vaitarna/Tansa/New Tansa mains</t>
  </si>
  <si>
    <t>MUM-0156</t>
  </si>
  <si>
    <t>504901443</t>
  </si>
  <si>
    <t>Construction of maintenance staff chowky/workshops, Kapurbawdi water works yard</t>
  </si>
  <si>
    <t>MUM-0157</t>
  </si>
  <si>
    <t>504901599</t>
  </si>
  <si>
    <t>Walkway bridge for crossing water trunk mains at Khaling</t>
  </si>
  <si>
    <t>MUM-0158</t>
  </si>
  <si>
    <t>594901428</t>
  </si>
  <si>
    <t>CC road, Bilaal Nagar/Shantinagar–New Azad Nagar</t>
  </si>
  <si>
    <t>MUM-0159</t>
  </si>
  <si>
    <t>504901446</t>
  </si>
  <si>
    <t>BMC service road in CC, Kalher–Temghar</t>
  </si>
  <si>
    <t>MUM-0160</t>
  </si>
  <si>
    <t>504901660</t>
  </si>
  <si>
    <t>Widening/improvement of asphalt service road, Yewai junction–chlorination point</t>
  </si>
  <si>
    <t>MUM-0161</t>
  </si>
  <si>
    <t>MUM-0162</t>
  </si>
  <si>
    <t>504901511</t>
  </si>
  <si>
    <t>Construction of new toilet blocks at various locations</t>
  </si>
  <si>
    <t>MUM-0163</t>
  </si>
  <si>
    <t>Reconstruction of Bhospada bridge, Khardi–Vaitarna Road</t>
  </si>
  <si>
    <t>MUM-0164</t>
  </si>
  <si>
    <t>Drainage system and pavement replacement around staff quarters</t>
  </si>
  <si>
    <t>MUM-0165</t>
  </si>
  <si>
    <t>MUM-0166</t>
  </si>
  <si>
    <t>MUM-0167</t>
  </si>
  <si>
    <t>MUM-0168</t>
  </si>
  <si>
    <t>MUM-0169</t>
  </si>
  <si>
    <t>MUM-0170</t>
  </si>
  <si>
    <t>MUM-0171</t>
  </si>
  <si>
    <t>MUM-0172</t>
  </si>
  <si>
    <t>MUM-0173</t>
  </si>
  <si>
    <t>MUM-0174</t>
  </si>
  <si>
    <t>504901658</t>
  </si>
  <si>
    <t>Resurfacing road, Kiniste Phata–MVD dam</t>
  </si>
  <si>
    <t>MUM-0175</t>
  </si>
  <si>
    <t>Road repairs/resurfacing, Yewai–Jamboli / Yewai chlorination plant</t>
  </si>
  <si>
    <t>MUM-0176</t>
  </si>
  <si>
    <t>MUM-0177</t>
  </si>
  <si>
    <t>MUM-0178</t>
  </si>
  <si>
    <t>Repairs/reconstruction of bridges &amp; culverts, including Bhospada/Taharpur</t>
  </si>
  <si>
    <t>MUM-0179</t>
  </si>
  <si>
    <t>Used despite zero budget</t>
  </si>
  <si>
    <t>MUM-0180</t>
  </si>
  <si>
    <t>MUM-0181</t>
  </si>
  <si>
    <t>Records</t>
  </si>
  <si>
    <t>Status</t>
  </si>
  <si>
    <t>Coverage</t>
  </si>
  <si>
    <t>Note</t>
  </si>
  <si>
    <t>Available</t>
  </si>
  <si>
    <t>Not available</t>
  </si>
  <si>
    <t>Partial / current-year data</t>
  </si>
  <si>
    <t>Source Category / Rule</t>
  </si>
  <si>
    <t>Mapping Method</t>
  </si>
  <si>
    <t>Project contains epoxy / Vaitarna / Tansa / water trunk / water works</t>
  </si>
  <si>
    <t>Row-level project classification; source category itself is a department/division, not an expense category.</t>
  </si>
  <si>
    <t>Project contains toilet / drainage</t>
  </si>
  <si>
    <t>Project contains road / culvert / bridge / railing / resurfacing / pavement</t>
  </si>
  <si>
    <t>Project contains staff quarters / office / bungalow / dispensary / workshop</t>
  </si>
  <si>
    <t>Direct normalization</t>
  </si>
  <si>
    <t>Equivalent/normalized label used for cross-city comparison.</t>
  </si>
  <si>
    <t>Scope</t>
  </si>
  <si>
    <t>Issue</t>
  </si>
  <si>
    <t>Treatment</t>
  </si>
  <si>
    <t>Severity</t>
  </si>
  <si>
    <t>2024-25 block excluded</t>
  </si>
  <si>
    <t>The 2024-25 block in the NASHIK sheet contains Nagpur-specific projects/GL codes (e.g., Pench Project, Bhandewadi STP). It was excluded rather than incorrectly assigning those figures to Nashik.</t>
  </si>
  <si>
    <t>All cities</t>
  </si>
  <si>
    <t>Utilization standardized</t>
  </si>
  <si>
    <t>Utilization % is recalculated from cleaned Budget and Used values. This prevents mixed formats such as 0.9878 vs 98.78 from breaking dashboard calculations.</t>
  </si>
  <si>
    <t>Numeric cleanup</t>
  </si>
  <si>
    <t>Some Used values were stored as Indian-formatted text such as 2,84,72,31. These were converted to numeric values without changing the underlying amount.</t>
  </si>
  <si>
    <t>Medium</t>
  </si>
  <si>
    <t>Coverage limitation</t>
  </si>
  <si>
    <t>PUNE FINAL contains a curated 2021-22 comparable set. Other Pune source data exists in the raw sheet but was not forced into the standardized dataset because its coverage/selection differs.</t>
  </si>
  <si>
    <t>Mumbai is a verified comparable subset of rows, not a claim that every line from the BMC disclosure PDFs is included.</t>
  </si>
  <si>
    <t>2025-26 partial data</t>
  </si>
  <si>
    <t>Some 2025-26 capital rows have unavailable Used/Remaining values (shown as blank), so they remain in the dataset but are excluded naturally from numeric utilization calculations.</t>
  </si>
  <si>
    <t>Multiple</t>
  </si>
  <si>
    <t>GL code unavailable</t>
  </si>
  <si>
    <t>Where a source did not provide a GL code in the selected dataset, the value is retained as 'Not specified' rather than invented.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</si>
</sst>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8"/>
      <color rgb="FF1F1F1F"/>
      <name val="Calibri"/>
    </font>
    <font>
      <b/>
      <sz val="14"/>
      <color rgb="FF17365D"/>
      <name val="Calibri"/>
    </font>
    <font>
      <i/>
      <sz val="11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2F2F2"/>
      </patternFill>
    </fill>
  </fills>
  <borders count="19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3" fillId="2" borderId="0" xfId="0" applyFont="1" applyFill="1"/>
    <xf numFmtId="10" fontId="0" fillId="0" borderId="0" xfId="0" applyNumberFormat="1"/>
    <xf numFmtId="164" fontId="0" fillId="0" borderId="0" xfId="0" applyNumberFormat="1"/>
    <xf numFmtId="164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3" fillId="2" borderId="10" xfId="0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10" fontId="0" fillId="0" borderId="10" xfId="0" applyNumberFormat="1" applyBorder="1" applyAlignment="1">
      <alignment vertical="top" wrapText="1"/>
    </xf>
    <xf numFmtId="164" fontId="0" fillId="0" borderId="17" xfId="0" applyNumberFormat="1" applyBorder="1" applyAlignment="1">
      <alignment vertical="top" wrapText="1"/>
    </xf>
    <xf numFmtId="10" fontId="0" fillId="0" borderId="17" xfId="0" applyNumberFormat="1" applyBorder="1" applyAlignment="1">
      <alignment vertical="top" wrapText="1"/>
    </xf>
    <xf numFmtId="10" fontId="0" fillId="0" borderId="15" xfId="0" applyNumberFormat="1" applyBorder="1" applyAlignment="1">
      <alignment vertical="top" wrapText="1"/>
    </xf>
    <xf numFmtId="10" fontId="0" fillId="0" borderId="18" xfId="0" applyNumberFormat="1" applyBorder="1" applyAlignment="1">
      <alignment vertical="top" wrapText="1"/>
    </xf>
    <xf numFmtId="164" fontId="5" fillId="5" borderId="0" xfId="0" applyNumberFormat="1" applyFont="1" applyFill="1" applyAlignment="1">
      <alignment horizontal="center" vertical="center"/>
    </xf>
    <xf numFmtId="0" fontId="0" fillId="0" borderId="0" xfId="0"/>
    <xf numFmtId="10" fontId="5" fillId="5" borderId="0" xfId="0" applyNumberFormat="1" applyFont="1" applyFill="1" applyAlignment="1">
      <alignment horizontal="center" vertical="center"/>
    </xf>
    <xf numFmtId="0" fontId="7" fillId="0" borderId="0" xfId="0" applyFont="1"/>
    <xf numFmtId="0" fontId="5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62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14" formatCode="0.00%"/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164" formatCode="\₹#,##0"/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Utilization by City and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Mumbai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Dashboard!$A$11:$A$15</c:f>
              <c:strCache>
                <c:ptCount val="5"/>
                <c:pt idx="0">
                  <c:v>2021-22</c:v>
                </c:pt>
                <c:pt idx="1">
                  <c:v>2022-23</c:v>
                </c:pt>
                <c:pt idx="2">
                  <c:v>2023-24</c:v>
                </c:pt>
                <c:pt idx="3">
                  <c:v>2024-25</c:v>
                </c:pt>
                <c:pt idx="4">
                  <c:v>2025-26</c:v>
                </c:pt>
              </c:strCache>
            </c:strRef>
          </c:cat>
          <c:val>
            <c:numRef>
              <c:f>Dashboard!$B$11:$B$15</c:f>
              <c:numCache>
                <c:formatCode>0.00%</c:formatCode>
                <c:ptCount val="5"/>
                <c:pt idx="0">
                  <c:v>0.4675252620875846</c:v>
                </c:pt>
                <c:pt idx="1">
                  <c:v>0.5763011662779074</c:v>
                </c:pt>
                <c:pt idx="2">
                  <c:v>0.63932320323560665</c:v>
                </c:pt>
                <c:pt idx="3">
                  <c:v>1.228274966212562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8B-46AF-A232-A044BB7E102E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Nagpur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Dashboard!$A$11:$A$15</c:f>
              <c:strCache>
                <c:ptCount val="5"/>
                <c:pt idx="0">
                  <c:v>2021-22</c:v>
                </c:pt>
                <c:pt idx="1">
                  <c:v>2022-23</c:v>
                </c:pt>
                <c:pt idx="2">
                  <c:v>2023-24</c:v>
                </c:pt>
                <c:pt idx="3">
                  <c:v>2024-25</c:v>
                </c:pt>
                <c:pt idx="4">
                  <c:v>2025-26</c:v>
                </c:pt>
              </c:strCache>
            </c:strRef>
          </c:cat>
          <c:val>
            <c:numRef>
              <c:f>Dashboard!$C$11:$C$15</c:f>
              <c:numCache>
                <c:formatCode>0.00%</c:formatCode>
                <c:ptCount val="5"/>
                <c:pt idx="2">
                  <c:v>0.85559012272517609</c:v>
                </c:pt>
                <c:pt idx="3">
                  <c:v>8.3924089387047346E-2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8B-46AF-A232-A044BB7E102E}"/>
            </c:ext>
          </c:extLst>
        </c:ser>
        <c:ser>
          <c:idx val="2"/>
          <c:order val="2"/>
          <c:tx>
            <c:strRef>
              <c:f>Dashboard!$D$10</c:f>
              <c:strCache>
                <c:ptCount val="1"/>
                <c:pt idx="0">
                  <c:v>Nashik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Dashboard!$A$11:$A$15</c:f>
              <c:strCache>
                <c:ptCount val="5"/>
                <c:pt idx="0">
                  <c:v>2021-22</c:v>
                </c:pt>
                <c:pt idx="1">
                  <c:v>2022-23</c:v>
                </c:pt>
                <c:pt idx="2">
                  <c:v>2023-24</c:v>
                </c:pt>
                <c:pt idx="3">
                  <c:v>2024-25</c:v>
                </c:pt>
                <c:pt idx="4">
                  <c:v>2025-26</c:v>
                </c:pt>
              </c:strCache>
            </c:strRef>
          </c:cat>
          <c:val>
            <c:numRef>
              <c:f>Dashboard!$D$11:$D$15</c:f>
              <c:numCache>
                <c:formatCode>0.00%</c:formatCode>
                <c:ptCount val="5"/>
                <c:pt idx="0">
                  <c:v>0.77436434756315631</c:v>
                </c:pt>
                <c:pt idx="1">
                  <c:v>0.88916701111017049</c:v>
                </c:pt>
                <c:pt idx="2">
                  <c:v>0.96370172538853938</c:v>
                </c:pt>
                <c:pt idx="4">
                  <c:v>0.26322177492982218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8B-46AF-A232-A044BB7E102E}"/>
            </c:ext>
          </c:extLst>
        </c:ser>
        <c:ser>
          <c:idx val="3"/>
          <c:order val="3"/>
          <c:tx>
            <c:strRef>
              <c:f>Dashboard!$E$10</c:f>
              <c:strCache>
                <c:ptCount val="1"/>
                <c:pt idx="0">
                  <c:v>Pune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Dashboard!$A$11:$A$15</c:f>
              <c:strCache>
                <c:ptCount val="5"/>
                <c:pt idx="0">
                  <c:v>2021-22</c:v>
                </c:pt>
                <c:pt idx="1">
                  <c:v>2022-23</c:v>
                </c:pt>
                <c:pt idx="2">
                  <c:v>2023-24</c:v>
                </c:pt>
                <c:pt idx="3">
                  <c:v>2024-25</c:v>
                </c:pt>
                <c:pt idx="4">
                  <c:v>2025-26</c:v>
                </c:pt>
              </c:strCache>
            </c:strRef>
          </c:cat>
          <c:val>
            <c:numRef>
              <c:f>Dashboard!$E$11:$E$15</c:f>
              <c:numCache>
                <c:formatCode>0.00%</c:formatCode>
                <c:ptCount val="5"/>
                <c:pt idx="0">
                  <c:v>0.90143576367980882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08B-46AF-A232-A044BB7E1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Financial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Utilization %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Budget by Standard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Budget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Dashboard!$A$22:$A$37</c:f>
              <c:strCache>
                <c:ptCount val="16"/>
                <c:pt idx="0">
                  <c:v>Total / Aggregate</c:v>
                </c:pt>
                <c:pt idx="1">
                  <c:v>Public Health</c:v>
                </c:pt>
                <c:pt idx="2">
                  <c:v>Roads / Infrastructure</c:v>
                </c:pt>
                <c:pt idx="3">
                  <c:v>Water Supply</c:v>
                </c:pt>
                <c:pt idx="4">
                  <c:v>Capital Expenditure</c:v>
                </c:pt>
                <c:pt idx="5">
                  <c:v>General Administration</c:v>
                </c:pt>
                <c:pt idx="6">
                  <c:v>Sanitation / Sewerage</c:v>
                </c:pt>
                <c:pt idx="7">
                  <c:v>Solid Waste Management</c:v>
                </c:pt>
                <c:pt idx="8">
                  <c:v>Education</c:v>
                </c:pt>
                <c:pt idx="9">
                  <c:v>Public Safety</c:v>
                </c:pt>
                <c:pt idx="10">
                  <c:v>Social Welfare</c:v>
                </c:pt>
                <c:pt idx="11">
                  <c:v>Miscellaneous</c:v>
                </c:pt>
                <c:pt idx="12">
                  <c:v>Use the Coverage and Data_Quality sheets before making cross-city comparisons.</c:v>
                </c:pt>
                <c:pt idx="13">
                  <c:v>Public Utilities</c:v>
                </c:pt>
                <c:pt idx="14">
                  <c:v>Drainage – Capital</c:v>
                </c:pt>
                <c:pt idx="15">
                  <c:v>Grants</c:v>
                </c:pt>
              </c:strCache>
            </c:strRef>
          </c:cat>
          <c:val>
            <c:numRef>
              <c:f>Dashboard!$B$22:$B$37</c:f>
              <c:numCache>
                <c:formatCode>\₹#,##0</c:formatCode>
                <c:ptCount val="16"/>
                <c:pt idx="0">
                  <c:v>46421914000</c:v>
                </c:pt>
                <c:pt idx="1">
                  <c:v>26840951000</c:v>
                </c:pt>
                <c:pt idx="2">
                  <c:v>23448395200</c:v>
                </c:pt>
                <c:pt idx="3">
                  <c:v>21780382000</c:v>
                </c:pt>
                <c:pt idx="4">
                  <c:v>15194326000</c:v>
                </c:pt>
                <c:pt idx="5">
                  <c:v>12729220520</c:v>
                </c:pt>
                <c:pt idx="6">
                  <c:v>8153970000</c:v>
                </c:pt>
                <c:pt idx="7">
                  <c:v>7536739400</c:v>
                </c:pt>
                <c:pt idx="8">
                  <c:v>4548513700</c:v>
                </c:pt>
                <c:pt idx="9">
                  <c:v>3820400000</c:v>
                </c:pt>
                <c:pt idx="10">
                  <c:v>3558860000</c:v>
                </c:pt>
                <c:pt idx="11">
                  <c:v>3310878050</c:v>
                </c:pt>
                <c:pt idx="13">
                  <c:v>111806950</c:v>
                </c:pt>
                <c:pt idx="14">
                  <c:v>80000000</c:v>
                </c:pt>
                <c:pt idx="15">
                  <c:v>10600000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2-4D6E-BC02-A203B998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₹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164B04-06A2-47FB-A29B-C5A9081E191A}" name="Table5" displayName="Table5" ref="A1:O182" totalsRowShown="0" headerRowDxfId="61" headerRowBorderDxfId="60" tableBorderDxfId="59" totalsRowBorderDxfId="58">
  <autoFilter ref="A1:O182" xr:uid="{00000000-0009-0000-0000-000002000000}"/>
  <tableColumns count="15">
    <tableColumn id="1" xr3:uid="{3FDC1D46-E442-4700-975B-9CDEA300BF8F}" name="Record ID" dataDxfId="57"/>
    <tableColumn id="2" xr3:uid="{721D73AC-5007-4A3E-A8A8-AB4F0BC25881}" name="City" dataDxfId="56"/>
    <tableColumn id="3" xr3:uid="{FF117D99-1A20-4E33-A13C-310665561864}" name="Year" dataDxfId="55"/>
    <tableColumn id="4" xr3:uid="{E1E02A1B-FA8E-485D-830B-6091195D30DD}" name="Standard Category" dataDxfId="54"/>
    <tableColumn id="5" xr3:uid="{D09C0A42-9BED-4FE0-A2F0-FFD6963E1A8F}" name="Source Category" dataDxfId="53"/>
    <tableColumn id="6" xr3:uid="{E5483FD4-C4E1-49F6-9511-D2BF73356A9E}" name="Department" dataDxfId="52"/>
    <tableColumn id="7" xr3:uid="{95C884F7-65E7-41DE-AE35-45A097017978}" name="GL Code" dataDxfId="51"/>
    <tableColumn id="8" xr3:uid="{8B799B46-9115-4BE7-ABFA-618FA08EA728}" name="Account / Project" dataDxfId="50"/>
    <tableColumn id="9" xr3:uid="{CDF2FAC0-E466-440B-8A0D-B4B85ABDBF4D}" name="Budget (₹)" dataDxfId="49"/>
    <tableColumn id="10" xr3:uid="{94F6F409-2889-4CEA-9DEB-4E09BD28C943}" name="Used (₹)" dataDxfId="48"/>
    <tableColumn id="11" xr3:uid="{A44B2BD9-FCC8-4314-9F0E-C81760D63C79}" name="Remaining (₹)" dataDxfId="47"/>
    <tableColumn id="12" xr3:uid="{1E91F24C-66D9-403A-BF38-BD867FC9AD29}" name="Utilization %" dataDxfId="46"/>
    <tableColumn id="13" xr3:uid="{C0C30BE4-9B38-484E-8983-63F7CC62EC50}" name="Utilization Status" dataDxfId="45"/>
    <tableColumn id="14" xr3:uid="{CEE6B736-C441-43AE-958B-A7BC99A54B98}" name="Data Quality" dataDxfId="44"/>
    <tableColumn id="15" xr3:uid="{E1F3F512-263D-4DB5-8FEF-DACE081D6FF4}" name="Source Sheet" dataDxfId="4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FB7FB8-06BC-4BF3-A119-5301F2C58717}" name="Table4" displayName="Table4" ref="A1:H12" totalsRowShown="0" headerRowDxfId="42" dataDxfId="40" headerRowBorderDxfId="41" tableBorderDxfId="39" totalsRowBorderDxfId="38">
  <autoFilter ref="A1:H12" xr:uid="{00000000-0009-0000-0000-000003000000}"/>
  <tableColumns count="8">
    <tableColumn id="1" xr3:uid="{72897604-5FE5-460F-852F-6D2DCF378868}" name="City" dataDxfId="37"/>
    <tableColumn id="2" xr3:uid="{81775194-EC9E-49CC-BA0F-9624707B008E}" name="Year" dataDxfId="36"/>
    <tableColumn id="3" xr3:uid="{1EA13CD3-54C7-48D7-8D06-79549DEEFC4D}" name="Records" dataDxfId="35"/>
    <tableColumn id="4" xr3:uid="{631E2EFB-A5DF-430D-8258-BD699C84AE04}" name="Budget (₹)" dataDxfId="34"/>
    <tableColumn id="5" xr3:uid="{3B0AD278-80E5-4A57-A773-DAD58EE0457B}" name="Used (₹)" dataDxfId="33"/>
    <tableColumn id="6" xr3:uid="{D714F9A1-5BD4-4240-884A-308B0027DC8C}" name="Remaining (₹)" dataDxfId="32"/>
    <tableColumn id="7" xr3:uid="{A746E037-578F-489F-B5D2-D214B0E5490B}" name="Utilization %" dataDxfId="31"/>
    <tableColumn id="8" xr3:uid="{A8928F5D-CA51-47B8-8391-D8B2D441DABB}" name="Status" dataDxfId="30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8C6940-F6FA-4AE5-BB11-FF776A81137A}" name="Table3" displayName="Table3" ref="A1:G17" totalsRowShown="0" headerRowDxfId="29" dataDxfId="27" headerRowBorderDxfId="28" tableBorderDxfId="26" totalsRowBorderDxfId="25">
  <autoFilter ref="A1:G17" xr:uid="{00000000-0009-0000-0000-000004000000}"/>
  <tableColumns count="7">
    <tableColumn id="1" xr3:uid="{B7754005-3ABA-4383-99E7-62BCD52CE04D}" name="Standard Category" dataDxfId="24"/>
    <tableColumn id="2" xr3:uid="{FB8A9F9A-122F-4F99-AB47-79C1CBA3FD0A}" name="Records" dataDxfId="23"/>
    <tableColumn id="3" xr3:uid="{D0A0B0A0-957D-4A78-9DD8-EBAA462E30C1}" name="Budget (₹)" dataDxfId="22"/>
    <tableColumn id="4" xr3:uid="{EFAD3232-C084-4FD7-B7E2-F4F5CF1C806B}" name="Used (₹)" dataDxfId="21"/>
    <tableColumn id="5" xr3:uid="{D9BD34A8-04DB-4B42-941D-C9A1FD1C26D7}" name="Remaining (₹)" dataDxfId="20"/>
    <tableColumn id="6" xr3:uid="{D99C85C1-3AC7-4C19-AA9F-143F12CA5E5E}" name="Utilization %" dataDxfId="19"/>
    <tableColumn id="7" xr3:uid="{61D4EF7F-C960-4889-8E01-CDE8794B998A}" name="Status" dataDxfId="18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A90152-F23C-4BA9-BDB1-4DC783D60132}" name="Table2" displayName="Table2" ref="A1:E55" totalsRowShown="0" headerRowDxfId="17" dataDxfId="15" headerRowBorderDxfId="16" tableBorderDxfId="14" totalsRowBorderDxfId="13">
  <autoFilter ref="A1:E55" xr:uid="{00000000-0009-0000-0000-000006000000}"/>
  <tableColumns count="5">
    <tableColumn id="1" xr3:uid="{ECB873FB-3A38-40F1-B43F-D8035ABAB85B}" name="City" dataDxfId="12"/>
    <tableColumn id="2" xr3:uid="{6063FFF1-3B1A-4F6D-A464-B40972755F98}" name="Source Category / Rule" dataDxfId="11"/>
    <tableColumn id="3" xr3:uid="{77F4FAAD-65AD-4B6B-A06E-136F5D232DDD}" name="Mapping Method" dataDxfId="10"/>
    <tableColumn id="4" xr3:uid="{B2AD0533-7B82-41D6-B0B3-EB40BE3EC657}" name="Standard Category" dataDxfId="9"/>
    <tableColumn id="5" xr3:uid="{865C0254-6F47-4E01-BF08-9C5D432BF2FD}" name="Note" dataDxfId="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17A1D-982F-403E-BBD9-428C096F7AA4}" name="Table1" displayName="Table1" ref="A1:D8" totalsRowShown="0" headerRowDxfId="7" headerRowBorderDxfId="6" tableBorderDxfId="5" totalsRowBorderDxfId="4">
  <autoFilter ref="A1:D8" xr:uid="{00000000-0009-0000-0000-000007000000}"/>
  <tableColumns count="4">
    <tableColumn id="1" xr3:uid="{49C87A3C-6ADA-4018-A2D6-E148A4CEAB50}" name="Scope" dataDxfId="3"/>
    <tableColumn id="2" xr3:uid="{192A8640-1850-4404-841A-C32CDE3ADDAD}" name="Issue" dataDxfId="2"/>
    <tableColumn id="3" xr3:uid="{A6CD0C6C-A5FE-43DF-A762-56B6188ABF73}" name="Treatment" dataDxfId="1"/>
    <tableColumn id="4" xr3:uid="{1A593E03-1DB3-445D-BBAE-18EBD8B14FD6}" name="Severity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5" customWidth="1"/>
  </cols>
  <sheetData>
    <row r="1" spans="1:2" ht="23.4" x14ac:dyDescent="0.45">
      <c r="A1" s="1" t="s">
        <v>0</v>
      </c>
      <c r="B1" s="2"/>
    </row>
    <row r="2" spans="1:2" ht="28.8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6</v>
      </c>
    </row>
    <row r="5" spans="1:2" x14ac:dyDescent="0.3">
      <c r="A5" s="3" t="s">
        <v>7</v>
      </c>
      <c r="B5" s="4" t="s">
        <v>8</v>
      </c>
    </row>
    <row r="6" spans="1:2" x14ac:dyDescent="0.3">
      <c r="A6" s="3" t="s">
        <v>9</v>
      </c>
      <c r="B6" s="4" t="s">
        <v>10</v>
      </c>
    </row>
    <row r="7" spans="1:2" x14ac:dyDescent="0.3">
      <c r="A7" s="3" t="s">
        <v>11</v>
      </c>
      <c r="B7" s="4" t="s">
        <v>12</v>
      </c>
    </row>
    <row r="8" spans="1:2" ht="28.8" x14ac:dyDescent="0.3">
      <c r="A8" s="3" t="s">
        <v>13</v>
      </c>
      <c r="B8" s="4" t="s">
        <v>14</v>
      </c>
    </row>
    <row r="9" spans="1:2" x14ac:dyDescent="0.3">
      <c r="A9" s="3" t="s">
        <v>15</v>
      </c>
      <c r="B9" s="4" t="s">
        <v>16</v>
      </c>
    </row>
    <row r="10" spans="1:2" x14ac:dyDescent="0.3">
      <c r="A10" s="3" t="s">
        <v>17</v>
      </c>
      <c r="B10" s="4" t="s">
        <v>18</v>
      </c>
    </row>
    <row r="11" spans="1:2" ht="28.8" x14ac:dyDescent="0.3">
      <c r="A11" s="3" t="s">
        <v>19</v>
      </c>
      <c r="B11" s="4" t="s">
        <v>20</v>
      </c>
    </row>
    <row r="12" spans="1:2" x14ac:dyDescent="0.3">
      <c r="A12" s="3" t="s">
        <v>21</v>
      </c>
      <c r="B12" s="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showGridLines="0" tabSelected="1" zoomScale="46" zoomScaleNormal="72" workbookViewId="0">
      <pane ySplit="3" topLeftCell="A4" activePane="bottomLeft" state="frozen"/>
      <selection pane="bottomLeft" activeCell="M16" sqref="M16"/>
    </sheetView>
  </sheetViews>
  <sheetFormatPr defaultRowHeight="14.4" x14ac:dyDescent="0.3"/>
  <cols>
    <col min="1" max="1" width="34" customWidth="1"/>
    <col min="2" max="10" width="18" customWidth="1"/>
  </cols>
  <sheetData>
    <row r="1" spans="1:10" x14ac:dyDescent="0.3">
      <c r="A1" s="43" t="s">
        <v>23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3">
      <c r="A2" s="38"/>
      <c r="B2" s="38"/>
      <c r="C2" s="38"/>
      <c r="D2" s="38"/>
      <c r="E2" s="38"/>
      <c r="F2" s="38"/>
      <c r="G2" s="38"/>
      <c r="H2" s="38"/>
      <c r="I2" s="38"/>
      <c r="J2" s="38"/>
    </row>
    <row r="4" spans="1:10" x14ac:dyDescent="0.3">
      <c r="A4" s="42" t="s">
        <v>24</v>
      </c>
      <c r="B4" s="38"/>
      <c r="C4" s="42" t="s">
        <v>25</v>
      </c>
      <c r="D4" s="38"/>
      <c r="E4" s="42" t="s">
        <v>26</v>
      </c>
      <c r="F4" s="38"/>
      <c r="G4" s="42" t="s">
        <v>27</v>
      </c>
      <c r="H4" s="38"/>
      <c r="I4" s="42" t="s">
        <v>28</v>
      </c>
      <c r="J4" s="38"/>
    </row>
    <row r="5" spans="1:10" x14ac:dyDescent="0.3">
      <c r="A5" s="37">
        <v>179736104000</v>
      </c>
      <c r="B5" s="38"/>
      <c r="C5" s="37">
        <v>125987786547.92999</v>
      </c>
      <c r="D5" s="38"/>
      <c r="E5" s="37">
        <v>42188867452.07</v>
      </c>
      <c r="F5" s="38"/>
      <c r="G5" s="39">
        <v>0.70095981688759645</v>
      </c>
      <c r="H5" s="38"/>
      <c r="I5" s="41">
        <v>30</v>
      </c>
      <c r="J5" s="38"/>
    </row>
    <row r="6" spans="1:10" x14ac:dyDescent="0.3">
      <c r="A6" s="38"/>
      <c r="B6" s="38"/>
      <c r="C6" s="38"/>
      <c r="D6" s="38"/>
      <c r="E6" s="38"/>
      <c r="F6" s="38"/>
      <c r="G6" s="38"/>
      <c r="H6" s="38"/>
      <c r="I6" s="38"/>
      <c r="J6" s="38"/>
    </row>
    <row r="9" spans="1:10" ht="18" x14ac:dyDescent="0.35">
      <c r="A9" s="5" t="s">
        <v>29</v>
      </c>
    </row>
    <row r="10" spans="1:10" x14ac:dyDescent="0.3">
      <c r="A10" s="6" t="s">
        <v>30</v>
      </c>
      <c r="B10" s="6" t="s">
        <v>31</v>
      </c>
      <c r="C10" s="6" t="s">
        <v>32</v>
      </c>
      <c r="D10" s="6" t="s">
        <v>33</v>
      </c>
      <c r="E10" s="6" t="s">
        <v>34</v>
      </c>
    </row>
    <row r="11" spans="1:10" x14ac:dyDescent="0.3">
      <c r="A11" t="s">
        <v>35</v>
      </c>
      <c r="B11" s="7">
        <v>0.4675252620875846</v>
      </c>
      <c r="C11" s="7"/>
      <c r="D11" s="7">
        <v>0.77436434756315631</v>
      </c>
      <c r="E11" s="7">
        <v>0.90143576367980882</v>
      </c>
    </row>
    <row r="12" spans="1:10" x14ac:dyDescent="0.3">
      <c r="A12" t="s">
        <v>36</v>
      </c>
      <c r="B12" s="7">
        <v>0.5763011662779074</v>
      </c>
      <c r="C12" s="7"/>
      <c r="D12" s="7">
        <v>0.88916701111017049</v>
      </c>
      <c r="E12" s="7"/>
    </row>
    <row r="13" spans="1:10" x14ac:dyDescent="0.3">
      <c r="A13" t="s">
        <v>37</v>
      </c>
      <c r="B13" s="7">
        <v>0.63932320323560665</v>
      </c>
      <c r="C13" s="7">
        <v>0.85559012272517609</v>
      </c>
      <c r="D13" s="7">
        <v>0.96370172538853938</v>
      </c>
      <c r="E13" s="7"/>
    </row>
    <row r="14" spans="1:10" x14ac:dyDescent="0.3">
      <c r="A14" t="s">
        <v>38</v>
      </c>
      <c r="B14" s="7">
        <v>1.228274966212562</v>
      </c>
      <c r="C14" s="7">
        <v>8.3924089387047346E-2</v>
      </c>
      <c r="D14" s="7"/>
      <c r="E14" s="7"/>
    </row>
    <row r="15" spans="1:10" x14ac:dyDescent="0.3">
      <c r="A15" t="s">
        <v>39</v>
      </c>
      <c r="B15" s="7"/>
      <c r="C15" s="7"/>
      <c r="D15" s="7">
        <v>0.26322177492982218</v>
      </c>
      <c r="E15" s="7"/>
    </row>
    <row r="20" spans="1:4" ht="18" x14ac:dyDescent="0.35">
      <c r="A20" s="5" t="s">
        <v>40</v>
      </c>
    </row>
    <row r="21" spans="1:4" x14ac:dyDescent="0.3">
      <c r="A21" s="6" t="s">
        <v>41</v>
      </c>
      <c r="B21" s="6" t="s">
        <v>42</v>
      </c>
      <c r="C21" s="6" t="s">
        <v>43</v>
      </c>
      <c r="D21" s="6" t="s">
        <v>44</v>
      </c>
    </row>
    <row r="22" spans="1:4" x14ac:dyDescent="0.3">
      <c r="A22" t="s">
        <v>45</v>
      </c>
      <c r="B22" s="8">
        <v>46421914000</v>
      </c>
      <c r="C22" s="8">
        <v>38941431000</v>
      </c>
      <c r="D22" s="7">
        <v>0.83885879845454026</v>
      </c>
    </row>
    <row r="23" spans="1:4" x14ac:dyDescent="0.3">
      <c r="A23" t="s">
        <v>46</v>
      </c>
      <c r="B23" s="8">
        <v>26840951000</v>
      </c>
      <c r="C23" s="8">
        <v>16311105262</v>
      </c>
      <c r="D23" s="7">
        <v>0.60769475947405882</v>
      </c>
    </row>
    <row r="24" spans="1:4" x14ac:dyDescent="0.3">
      <c r="A24" t="s">
        <v>47</v>
      </c>
      <c r="B24" s="8">
        <v>23448395200</v>
      </c>
      <c r="C24" s="8">
        <v>11449758688.950001</v>
      </c>
      <c r="D24" s="7">
        <v>0.48829604718322051</v>
      </c>
    </row>
    <row r="25" spans="1:4" x14ac:dyDescent="0.3">
      <c r="A25" t="s">
        <v>48</v>
      </c>
      <c r="B25" s="8">
        <v>21780382000</v>
      </c>
      <c r="C25" s="8">
        <v>13692009418.98</v>
      </c>
      <c r="D25" s="7">
        <v>0.62863954447539072</v>
      </c>
    </row>
    <row r="26" spans="1:4" x14ac:dyDescent="0.3">
      <c r="A26" t="s">
        <v>49</v>
      </c>
      <c r="B26" s="8">
        <v>15194326000</v>
      </c>
      <c r="C26" s="8">
        <v>12988648746</v>
      </c>
      <c r="D26" s="7">
        <v>0.85483546594959192</v>
      </c>
    </row>
    <row r="27" spans="1:4" x14ac:dyDescent="0.3">
      <c r="A27" t="s">
        <v>50</v>
      </c>
      <c r="B27" s="8">
        <v>12729220520</v>
      </c>
      <c r="C27" s="8">
        <v>11280844164</v>
      </c>
      <c r="D27" s="7">
        <v>0.88621641413750918</v>
      </c>
    </row>
    <row r="28" spans="1:4" x14ac:dyDescent="0.3">
      <c r="A28" t="s">
        <v>51</v>
      </c>
      <c r="B28" s="8">
        <v>8153970000</v>
      </c>
      <c r="C28" s="8">
        <v>4018850782</v>
      </c>
      <c r="D28" s="7">
        <v>0.49287044004331632</v>
      </c>
    </row>
    <row r="29" spans="1:4" x14ac:dyDescent="0.3">
      <c r="A29" t="s">
        <v>52</v>
      </c>
      <c r="B29" s="8">
        <v>7536739400</v>
      </c>
      <c r="C29" s="8">
        <v>4313205609</v>
      </c>
      <c r="D29" s="7">
        <v>0.57229066577517596</v>
      </c>
    </row>
    <row r="30" spans="1:4" x14ac:dyDescent="0.3">
      <c r="A30" t="s">
        <v>53</v>
      </c>
      <c r="B30" s="8">
        <v>4548513700</v>
      </c>
      <c r="C30" s="8">
        <v>1489476956</v>
      </c>
      <c r="D30" s="7">
        <v>0.32746454209866399</v>
      </c>
    </row>
    <row r="31" spans="1:4" x14ac:dyDescent="0.3">
      <c r="A31" t="s">
        <v>54</v>
      </c>
      <c r="B31" s="8">
        <v>3820400000</v>
      </c>
      <c r="C31" s="8">
        <v>3079976798</v>
      </c>
      <c r="D31" s="7">
        <v>0.80619223065647572</v>
      </c>
    </row>
    <row r="32" spans="1:4" x14ac:dyDescent="0.3">
      <c r="A32" t="s">
        <v>55</v>
      </c>
      <c r="B32" s="8">
        <v>3558860000</v>
      </c>
      <c r="C32" s="8">
        <v>2061407000</v>
      </c>
      <c r="D32" s="7">
        <v>0.5792323946432284</v>
      </c>
    </row>
    <row r="33" spans="1:10" x14ac:dyDescent="0.3">
      <c r="A33" t="s">
        <v>56</v>
      </c>
      <c r="B33" s="8">
        <v>3310878050</v>
      </c>
      <c r="C33" s="8">
        <v>5347662899</v>
      </c>
      <c r="D33" s="7">
        <v>1.6151796648022121</v>
      </c>
    </row>
    <row r="34" spans="1:10" x14ac:dyDescent="0.3">
      <c r="A34" s="40" t="s">
        <v>57</v>
      </c>
      <c r="B34" s="38"/>
      <c r="C34" s="38"/>
      <c r="D34" s="38"/>
      <c r="E34" s="38"/>
      <c r="F34" s="38"/>
      <c r="G34" s="38"/>
      <c r="H34" s="38"/>
      <c r="I34" s="38"/>
      <c r="J34" s="38"/>
    </row>
    <row r="35" spans="1:10" x14ac:dyDescent="0.3">
      <c r="A35" t="s">
        <v>58</v>
      </c>
      <c r="B35" s="8">
        <v>111806950</v>
      </c>
      <c r="C35" s="8">
        <v>69516290</v>
      </c>
      <c r="D35" s="7">
        <v>0.62175285167871941</v>
      </c>
    </row>
    <row r="36" spans="1:10" x14ac:dyDescent="0.3">
      <c r="A36" t="s">
        <v>59</v>
      </c>
      <c r="B36" s="8">
        <v>80000000</v>
      </c>
      <c r="C36" s="8">
        <v>103585000</v>
      </c>
      <c r="D36" s="7">
        <v>1.2948124999999999</v>
      </c>
    </row>
    <row r="37" spans="1:10" x14ac:dyDescent="0.3">
      <c r="A37" t="s">
        <v>60</v>
      </c>
      <c r="B37" s="8">
        <v>10600000</v>
      </c>
      <c r="C37" s="8">
        <v>204279022</v>
      </c>
      <c r="D37" s="7">
        <v>19.271605849056598</v>
      </c>
    </row>
  </sheetData>
  <mergeCells count="12">
    <mergeCell ref="A4:B4"/>
    <mergeCell ref="G4:H4"/>
    <mergeCell ref="E4:F4"/>
    <mergeCell ref="A1:J2"/>
    <mergeCell ref="I4:J4"/>
    <mergeCell ref="C4:D4"/>
    <mergeCell ref="C5:D6"/>
    <mergeCell ref="A5:B6"/>
    <mergeCell ref="G5:H6"/>
    <mergeCell ref="E5:F6"/>
    <mergeCell ref="A34:J34"/>
    <mergeCell ref="I5:J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2"/>
  <sheetViews>
    <sheetView showGridLines="0" workbookViewId="0">
      <pane ySplit="1" topLeftCell="A49" activePane="bottomLeft" state="frozen"/>
      <selection pane="bottomLeft" sqref="A1:O182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9.109375" bestFit="1" customWidth="1"/>
    <col min="4" max="4" width="22.109375" bestFit="1" customWidth="1"/>
    <col min="5" max="5" width="34.88671875" bestFit="1" customWidth="1"/>
    <col min="6" max="6" width="25.5546875" bestFit="1" customWidth="1"/>
    <col min="7" max="7" width="12.33203125" bestFit="1" customWidth="1"/>
    <col min="8" max="8" width="44.88671875" bestFit="1" customWidth="1"/>
    <col min="9" max="10" width="14.88671875" bestFit="1" customWidth="1"/>
    <col min="11" max="11" width="17.109375" bestFit="1" customWidth="1"/>
    <col min="12" max="12" width="15.77734375" bestFit="1" customWidth="1"/>
    <col min="13" max="13" width="19.6640625" bestFit="1" customWidth="1"/>
    <col min="14" max="14" width="15.77734375" bestFit="1" customWidth="1"/>
    <col min="15" max="15" width="16.44140625" bestFit="1" customWidth="1"/>
  </cols>
  <sheetData>
    <row r="1" spans="1:15" x14ac:dyDescent="0.3">
      <c r="A1" s="13" t="s">
        <v>61</v>
      </c>
      <c r="B1" s="14" t="s">
        <v>62</v>
      </c>
      <c r="C1" s="14" t="s">
        <v>30</v>
      </c>
      <c r="D1" s="14" t="s">
        <v>63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42</v>
      </c>
      <c r="J1" s="14" t="s">
        <v>43</v>
      </c>
      <c r="K1" s="14" t="s">
        <v>68</v>
      </c>
      <c r="L1" s="14" t="s">
        <v>44</v>
      </c>
      <c r="M1" s="14" t="s">
        <v>69</v>
      </c>
      <c r="N1" s="14" t="s">
        <v>70</v>
      </c>
      <c r="O1" s="15" t="s">
        <v>71</v>
      </c>
    </row>
    <row r="2" spans="1:15" x14ac:dyDescent="0.3">
      <c r="A2" s="11" t="s">
        <v>72</v>
      </c>
      <c r="B2" s="4" t="s">
        <v>32</v>
      </c>
      <c r="C2" s="4" t="s">
        <v>37</v>
      </c>
      <c r="D2" s="4" t="s">
        <v>48</v>
      </c>
      <c r="E2" s="4" t="s">
        <v>48</v>
      </c>
      <c r="F2" s="4" t="s">
        <v>73</v>
      </c>
      <c r="G2" s="4" t="s">
        <v>73</v>
      </c>
      <c r="H2" s="4" t="s">
        <v>74</v>
      </c>
      <c r="I2" s="9">
        <v>940000000</v>
      </c>
      <c r="J2" s="9">
        <v>928538201</v>
      </c>
      <c r="K2" s="9">
        <v>11461799</v>
      </c>
      <c r="L2" s="10">
        <v>0.98780659680851068</v>
      </c>
      <c r="M2" s="4" t="s">
        <v>75</v>
      </c>
      <c r="N2" s="4" t="s">
        <v>76</v>
      </c>
      <c r="O2" s="12" t="s">
        <v>77</v>
      </c>
    </row>
    <row r="3" spans="1:15" x14ac:dyDescent="0.3">
      <c r="A3" s="11" t="s">
        <v>78</v>
      </c>
      <c r="B3" s="4" t="s">
        <v>32</v>
      </c>
      <c r="C3" s="4" t="s">
        <v>37</v>
      </c>
      <c r="D3" s="4" t="s">
        <v>48</v>
      </c>
      <c r="E3" s="4" t="s">
        <v>48</v>
      </c>
      <c r="F3" s="4" t="s">
        <v>73</v>
      </c>
      <c r="G3" s="4" t="s">
        <v>73</v>
      </c>
      <c r="H3" s="4" t="s">
        <v>79</v>
      </c>
      <c r="I3" s="9">
        <v>145527000</v>
      </c>
      <c r="J3" s="9">
        <v>75526348</v>
      </c>
      <c r="K3" s="9">
        <v>70000652</v>
      </c>
      <c r="L3" s="10">
        <v>0.51898512303558786</v>
      </c>
      <c r="M3" s="4" t="s">
        <v>80</v>
      </c>
      <c r="N3" s="4" t="s">
        <v>76</v>
      </c>
      <c r="O3" s="12" t="s">
        <v>77</v>
      </c>
    </row>
    <row r="4" spans="1:15" x14ac:dyDescent="0.3">
      <c r="A4" s="11" t="s">
        <v>81</v>
      </c>
      <c r="B4" s="4" t="s">
        <v>32</v>
      </c>
      <c r="C4" s="4" t="s">
        <v>37</v>
      </c>
      <c r="D4" s="4" t="s">
        <v>48</v>
      </c>
      <c r="E4" s="4" t="s">
        <v>48</v>
      </c>
      <c r="F4" s="4" t="s">
        <v>73</v>
      </c>
      <c r="G4" s="4" t="s">
        <v>73</v>
      </c>
      <c r="H4" s="4" t="s">
        <v>82</v>
      </c>
      <c r="I4" s="9">
        <v>270000000</v>
      </c>
      <c r="J4" s="9">
        <v>259002304</v>
      </c>
      <c r="K4" s="9">
        <v>10997696</v>
      </c>
      <c r="L4" s="10">
        <v>0.95926779259259254</v>
      </c>
      <c r="M4" s="4" t="s">
        <v>75</v>
      </c>
      <c r="N4" s="4" t="s">
        <v>76</v>
      </c>
      <c r="O4" s="12" t="s">
        <v>77</v>
      </c>
    </row>
    <row r="5" spans="1:15" x14ac:dyDescent="0.3">
      <c r="A5" s="11" t="s">
        <v>83</v>
      </c>
      <c r="B5" s="4" t="s">
        <v>32</v>
      </c>
      <c r="C5" s="4" t="s">
        <v>37</v>
      </c>
      <c r="D5" s="4" t="s">
        <v>48</v>
      </c>
      <c r="E5" s="4" t="s">
        <v>48</v>
      </c>
      <c r="F5" s="4" t="s">
        <v>73</v>
      </c>
      <c r="G5" s="4" t="s">
        <v>73</v>
      </c>
      <c r="H5" s="4" t="s">
        <v>84</v>
      </c>
      <c r="I5" s="9">
        <v>1000000</v>
      </c>
      <c r="J5" s="9">
        <v>798736</v>
      </c>
      <c r="K5" s="9">
        <v>201264</v>
      </c>
      <c r="L5" s="10">
        <v>0.798736</v>
      </c>
      <c r="M5" s="4" t="s">
        <v>75</v>
      </c>
      <c r="N5" s="4" t="s">
        <v>76</v>
      </c>
      <c r="O5" s="12" t="s">
        <v>77</v>
      </c>
    </row>
    <row r="6" spans="1:15" x14ac:dyDescent="0.3">
      <c r="A6" s="11" t="s">
        <v>85</v>
      </c>
      <c r="B6" s="4" t="s">
        <v>32</v>
      </c>
      <c r="C6" s="4" t="s">
        <v>37</v>
      </c>
      <c r="D6" s="4" t="s">
        <v>48</v>
      </c>
      <c r="E6" s="4" t="s">
        <v>48</v>
      </c>
      <c r="F6" s="4" t="s">
        <v>73</v>
      </c>
      <c r="G6" s="4" t="s">
        <v>73</v>
      </c>
      <c r="H6" s="4" t="s">
        <v>86</v>
      </c>
      <c r="I6" s="9">
        <v>3769869000</v>
      </c>
      <c r="J6" s="9">
        <v>3505221499</v>
      </c>
      <c r="K6" s="9">
        <v>264647501</v>
      </c>
      <c r="L6" s="10">
        <v>0.92979928453747329</v>
      </c>
      <c r="M6" s="4" t="s">
        <v>75</v>
      </c>
      <c r="N6" s="4" t="s">
        <v>76</v>
      </c>
      <c r="O6" s="12" t="s">
        <v>77</v>
      </c>
    </row>
    <row r="7" spans="1:15" x14ac:dyDescent="0.3">
      <c r="A7" s="11" t="s">
        <v>87</v>
      </c>
      <c r="B7" s="4" t="s">
        <v>32</v>
      </c>
      <c r="C7" s="4" t="s">
        <v>37</v>
      </c>
      <c r="D7" s="4" t="s">
        <v>51</v>
      </c>
      <c r="E7" s="4" t="s">
        <v>51</v>
      </c>
      <c r="F7" s="4" t="s">
        <v>73</v>
      </c>
      <c r="G7" s="4" t="s">
        <v>73</v>
      </c>
      <c r="H7" s="4" t="s">
        <v>88</v>
      </c>
      <c r="I7" s="9">
        <v>13400000</v>
      </c>
      <c r="J7" s="9">
        <v>2322000</v>
      </c>
      <c r="K7" s="9">
        <v>11078000</v>
      </c>
      <c r="L7" s="10">
        <v>0.17328358208955219</v>
      </c>
      <c r="M7" s="4" t="s">
        <v>89</v>
      </c>
      <c r="N7" s="4" t="s">
        <v>76</v>
      </c>
      <c r="O7" s="12" t="s">
        <v>77</v>
      </c>
    </row>
    <row r="8" spans="1:15" x14ac:dyDescent="0.3">
      <c r="A8" s="11" t="s">
        <v>90</v>
      </c>
      <c r="B8" s="4" t="s">
        <v>32</v>
      </c>
      <c r="C8" s="4" t="s">
        <v>37</v>
      </c>
      <c r="D8" s="4" t="s">
        <v>51</v>
      </c>
      <c r="E8" s="4" t="s">
        <v>51</v>
      </c>
      <c r="F8" s="4" t="s">
        <v>73</v>
      </c>
      <c r="G8" s="4" t="s">
        <v>73</v>
      </c>
      <c r="H8" s="4" t="s">
        <v>91</v>
      </c>
      <c r="I8" s="9">
        <v>1000</v>
      </c>
      <c r="J8" s="9">
        <v>0</v>
      </c>
      <c r="K8" s="9">
        <v>1000</v>
      </c>
      <c r="L8" s="10">
        <v>0</v>
      </c>
      <c r="M8" s="4" t="s">
        <v>92</v>
      </c>
      <c r="N8" s="4" t="s">
        <v>76</v>
      </c>
      <c r="O8" s="12" t="s">
        <v>77</v>
      </c>
    </row>
    <row r="9" spans="1:15" ht="28.8" x14ac:dyDescent="0.3">
      <c r="A9" s="11" t="s">
        <v>93</v>
      </c>
      <c r="B9" s="4" t="s">
        <v>32</v>
      </c>
      <c r="C9" s="4" t="s">
        <v>37</v>
      </c>
      <c r="D9" s="4" t="s">
        <v>51</v>
      </c>
      <c r="E9" s="4" t="s">
        <v>51</v>
      </c>
      <c r="F9" s="4" t="s">
        <v>73</v>
      </c>
      <c r="G9" s="4" t="s">
        <v>73</v>
      </c>
      <c r="H9" s="4" t="s">
        <v>94</v>
      </c>
      <c r="I9" s="9">
        <v>700000000</v>
      </c>
      <c r="J9" s="9">
        <v>833837951</v>
      </c>
      <c r="K9" s="9">
        <v>-133837951</v>
      </c>
      <c r="L9" s="10">
        <v>1.191197072857143</v>
      </c>
      <c r="M9" s="4" t="s">
        <v>95</v>
      </c>
      <c r="N9" s="4" t="s">
        <v>96</v>
      </c>
      <c r="O9" s="12" t="s">
        <v>77</v>
      </c>
    </row>
    <row r="10" spans="1:15" x14ac:dyDescent="0.3">
      <c r="A10" s="11" t="s">
        <v>97</v>
      </c>
      <c r="B10" s="4" t="s">
        <v>32</v>
      </c>
      <c r="C10" s="4" t="s">
        <v>37</v>
      </c>
      <c r="D10" s="4" t="s">
        <v>51</v>
      </c>
      <c r="E10" s="4" t="s">
        <v>51</v>
      </c>
      <c r="F10" s="4" t="s">
        <v>73</v>
      </c>
      <c r="G10" s="4" t="s">
        <v>73</v>
      </c>
      <c r="H10" s="4" t="s">
        <v>98</v>
      </c>
      <c r="I10" s="9">
        <v>10000000</v>
      </c>
      <c r="J10" s="9">
        <v>4627184</v>
      </c>
      <c r="K10" s="9">
        <v>5372816</v>
      </c>
      <c r="L10" s="10">
        <v>0.46271839999999997</v>
      </c>
      <c r="M10" s="4" t="s">
        <v>99</v>
      </c>
      <c r="N10" s="4" t="s">
        <v>76</v>
      </c>
      <c r="O10" s="12" t="s">
        <v>77</v>
      </c>
    </row>
    <row r="11" spans="1:15" ht="28.8" x14ac:dyDescent="0.3">
      <c r="A11" s="11" t="s">
        <v>100</v>
      </c>
      <c r="B11" s="4" t="s">
        <v>32</v>
      </c>
      <c r="C11" s="4" t="s">
        <v>37</v>
      </c>
      <c r="D11" s="4" t="s">
        <v>51</v>
      </c>
      <c r="E11" s="4" t="s">
        <v>51</v>
      </c>
      <c r="F11" s="4" t="s">
        <v>73</v>
      </c>
      <c r="G11" s="4" t="s">
        <v>73</v>
      </c>
      <c r="H11" s="4" t="s">
        <v>101</v>
      </c>
      <c r="I11" s="9">
        <v>11186000</v>
      </c>
      <c r="J11" s="9">
        <v>11177142</v>
      </c>
      <c r="K11" s="9">
        <v>8858</v>
      </c>
      <c r="L11" s="10">
        <v>0.99920811728946901</v>
      </c>
      <c r="M11" s="4" t="s">
        <v>75</v>
      </c>
      <c r="N11" s="4" t="s">
        <v>76</v>
      </c>
      <c r="O11" s="12" t="s">
        <v>77</v>
      </c>
    </row>
    <row r="12" spans="1:15" x14ac:dyDescent="0.3">
      <c r="A12" s="11" t="s">
        <v>102</v>
      </c>
      <c r="B12" s="4" t="s">
        <v>32</v>
      </c>
      <c r="C12" s="4" t="s">
        <v>37</v>
      </c>
      <c r="D12" s="4" t="s">
        <v>51</v>
      </c>
      <c r="E12" s="4" t="s">
        <v>51</v>
      </c>
      <c r="F12" s="4" t="s">
        <v>73</v>
      </c>
      <c r="G12" s="4" t="s">
        <v>73</v>
      </c>
      <c r="H12" s="4" t="s">
        <v>103</v>
      </c>
      <c r="I12" s="9">
        <v>1000</v>
      </c>
      <c r="J12" s="9">
        <v>0</v>
      </c>
      <c r="K12" s="9">
        <v>1000</v>
      </c>
      <c r="L12" s="10">
        <v>0</v>
      </c>
      <c r="M12" s="4" t="s">
        <v>92</v>
      </c>
      <c r="N12" s="4" t="s">
        <v>76</v>
      </c>
      <c r="O12" s="12" t="s">
        <v>77</v>
      </c>
    </row>
    <row r="13" spans="1:15" x14ac:dyDescent="0.3">
      <c r="A13" s="11" t="s">
        <v>104</v>
      </c>
      <c r="B13" s="4" t="s">
        <v>32</v>
      </c>
      <c r="C13" s="4" t="s">
        <v>37</v>
      </c>
      <c r="D13" s="4" t="s">
        <v>52</v>
      </c>
      <c r="E13" s="4" t="s">
        <v>52</v>
      </c>
      <c r="F13" s="4" t="s">
        <v>73</v>
      </c>
      <c r="G13" s="4" t="s">
        <v>73</v>
      </c>
      <c r="H13" s="4" t="s">
        <v>105</v>
      </c>
      <c r="I13" s="9">
        <v>2000000000</v>
      </c>
      <c r="J13" s="9">
        <v>2126056424</v>
      </c>
      <c r="K13" s="9">
        <v>-126056424</v>
      </c>
      <c r="L13" s="10">
        <v>1.0630282120000001</v>
      </c>
      <c r="M13" s="4" t="s">
        <v>95</v>
      </c>
      <c r="N13" s="4" t="s">
        <v>96</v>
      </c>
      <c r="O13" s="12" t="s">
        <v>77</v>
      </c>
    </row>
    <row r="14" spans="1:15" ht="28.8" x14ac:dyDescent="0.3">
      <c r="A14" s="11" t="s">
        <v>106</v>
      </c>
      <c r="B14" s="4" t="s">
        <v>32</v>
      </c>
      <c r="C14" s="4" t="s">
        <v>37</v>
      </c>
      <c r="D14" s="4" t="s">
        <v>52</v>
      </c>
      <c r="E14" s="4" t="s">
        <v>52</v>
      </c>
      <c r="F14" s="4" t="s">
        <v>73</v>
      </c>
      <c r="G14" s="4" t="s">
        <v>73</v>
      </c>
      <c r="H14" s="4" t="s">
        <v>107</v>
      </c>
      <c r="I14" s="9">
        <v>20000000</v>
      </c>
      <c r="J14" s="9">
        <v>13851998</v>
      </c>
      <c r="K14" s="9">
        <v>6148002</v>
      </c>
      <c r="L14" s="10">
        <v>0.69259990000000005</v>
      </c>
      <c r="M14" s="4" t="s">
        <v>80</v>
      </c>
      <c r="N14" s="4" t="s">
        <v>76</v>
      </c>
      <c r="O14" s="12" t="s">
        <v>77</v>
      </c>
    </row>
    <row r="15" spans="1:15" x14ac:dyDescent="0.3">
      <c r="A15" s="11" t="s">
        <v>108</v>
      </c>
      <c r="B15" s="4" t="s">
        <v>32</v>
      </c>
      <c r="C15" s="4" t="s">
        <v>37</v>
      </c>
      <c r="D15" s="4" t="s">
        <v>52</v>
      </c>
      <c r="E15" s="4" t="s">
        <v>52</v>
      </c>
      <c r="F15" s="4" t="s">
        <v>73</v>
      </c>
      <c r="G15" s="4" t="s">
        <v>73</v>
      </c>
      <c r="H15" s="4" t="s">
        <v>109</v>
      </c>
      <c r="I15" s="9">
        <v>1140000000</v>
      </c>
      <c r="J15" s="9">
        <v>1017785478</v>
      </c>
      <c r="K15" s="9">
        <v>122214522</v>
      </c>
      <c r="L15" s="10">
        <v>0.8927942789473684</v>
      </c>
      <c r="M15" s="4" t="s">
        <v>75</v>
      </c>
      <c r="N15" s="4" t="s">
        <v>76</v>
      </c>
      <c r="O15" s="12" t="s">
        <v>77</v>
      </c>
    </row>
    <row r="16" spans="1:15" x14ac:dyDescent="0.3">
      <c r="A16" s="11" t="s">
        <v>110</v>
      </c>
      <c r="B16" s="4" t="s">
        <v>32</v>
      </c>
      <c r="C16" s="4" t="s">
        <v>37</v>
      </c>
      <c r="D16" s="4" t="s">
        <v>52</v>
      </c>
      <c r="E16" s="4" t="s">
        <v>52</v>
      </c>
      <c r="F16" s="4" t="s">
        <v>73</v>
      </c>
      <c r="G16" s="4" t="s">
        <v>73</v>
      </c>
      <c r="H16" s="4" t="s">
        <v>111</v>
      </c>
      <c r="I16" s="9">
        <v>40000000</v>
      </c>
      <c r="J16" s="9">
        <v>10435847</v>
      </c>
      <c r="K16" s="9">
        <v>29564153</v>
      </c>
      <c r="L16" s="10">
        <v>0.26089617500000001</v>
      </c>
      <c r="M16" s="4" t="s">
        <v>99</v>
      </c>
      <c r="N16" s="4" t="s">
        <v>76</v>
      </c>
      <c r="O16" s="12" t="s">
        <v>77</v>
      </c>
    </row>
    <row r="17" spans="1:15" ht="28.8" x14ac:dyDescent="0.3">
      <c r="A17" s="11" t="s">
        <v>112</v>
      </c>
      <c r="B17" s="4" t="s">
        <v>32</v>
      </c>
      <c r="C17" s="4" t="s">
        <v>37</v>
      </c>
      <c r="D17" s="4" t="s">
        <v>52</v>
      </c>
      <c r="E17" s="4" t="s">
        <v>52</v>
      </c>
      <c r="F17" s="4" t="s">
        <v>73</v>
      </c>
      <c r="G17" s="4" t="s">
        <v>73</v>
      </c>
      <c r="H17" s="4" t="s">
        <v>113</v>
      </c>
      <c r="I17" s="9">
        <v>280281000</v>
      </c>
      <c r="J17" s="9">
        <v>98626434</v>
      </c>
      <c r="K17" s="9">
        <v>181654566</v>
      </c>
      <c r="L17" s="10">
        <v>0.35188412343326869</v>
      </c>
      <c r="M17" s="4" t="s">
        <v>99</v>
      </c>
      <c r="N17" s="4" t="s">
        <v>76</v>
      </c>
      <c r="O17" s="12" t="s">
        <v>77</v>
      </c>
    </row>
    <row r="18" spans="1:15" x14ac:dyDescent="0.3">
      <c r="A18" s="11" t="s">
        <v>114</v>
      </c>
      <c r="B18" s="4" t="s">
        <v>32</v>
      </c>
      <c r="C18" s="4" t="s">
        <v>37</v>
      </c>
      <c r="D18" s="4" t="s">
        <v>52</v>
      </c>
      <c r="E18" s="4" t="s">
        <v>52</v>
      </c>
      <c r="F18" s="4" t="s">
        <v>73</v>
      </c>
      <c r="G18" s="4" t="s">
        <v>73</v>
      </c>
      <c r="H18" s="4" t="s">
        <v>115</v>
      </c>
      <c r="I18" s="9">
        <v>1500000</v>
      </c>
      <c r="J18" s="9">
        <v>298248</v>
      </c>
      <c r="K18" s="9">
        <v>1201752</v>
      </c>
      <c r="L18" s="10">
        <v>0.19883200000000001</v>
      </c>
      <c r="M18" s="4" t="s">
        <v>89</v>
      </c>
      <c r="N18" s="4" t="s">
        <v>76</v>
      </c>
      <c r="O18" s="12" t="s">
        <v>77</v>
      </c>
    </row>
    <row r="19" spans="1:15" x14ac:dyDescent="0.3">
      <c r="A19" s="11" t="s">
        <v>116</v>
      </c>
      <c r="B19" s="4" t="s">
        <v>32</v>
      </c>
      <c r="C19" s="4" t="s">
        <v>37</v>
      </c>
      <c r="D19" s="4" t="s">
        <v>52</v>
      </c>
      <c r="E19" s="4" t="s">
        <v>52</v>
      </c>
      <c r="F19" s="4" t="s">
        <v>73</v>
      </c>
      <c r="G19" s="4" t="s">
        <v>73</v>
      </c>
      <c r="H19" s="4" t="s">
        <v>117</v>
      </c>
      <c r="I19" s="9">
        <v>4000000</v>
      </c>
      <c r="J19" s="9">
        <v>867650</v>
      </c>
      <c r="K19" s="9">
        <v>3132350</v>
      </c>
      <c r="L19" s="10">
        <v>0.21691250000000001</v>
      </c>
      <c r="M19" s="4" t="s">
        <v>89</v>
      </c>
      <c r="N19" s="4" t="s">
        <v>76</v>
      </c>
      <c r="O19" s="12" t="s">
        <v>77</v>
      </c>
    </row>
    <row r="20" spans="1:15" ht="28.8" x14ac:dyDescent="0.3">
      <c r="A20" s="11" t="s">
        <v>118</v>
      </c>
      <c r="B20" s="4" t="s">
        <v>32</v>
      </c>
      <c r="C20" s="4" t="s">
        <v>37</v>
      </c>
      <c r="D20" s="4" t="s">
        <v>47</v>
      </c>
      <c r="E20" s="4" t="s">
        <v>47</v>
      </c>
      <c r="F20" s="4" t="s">
        <v>73</v>
      </c>
      <c r="G20" s="4" t="s">
        <v>73</v>
      </c>
      <c r="H20" s="4" t="s">
        <v>119</v>
      </c>
      <c r="I20" s="9">
        <v>300000000</v>
      </c>
      <c r="J20" s="9">
        <v>27346273</v>
      </c>
      <c r="K20" s="9">
        <v>272653727</v>
      </c>
      <c r="L20" s="10">
        <v>9.1154243333333329E-2</v>
      </c>
      <c r="M20" s="4" t="s">
        <v>89</v>
      </c>
      <c r="N20" s="4" t="s">
        <v>76</v>
      </c>
      <c r="O20" s="12" t="s">
        <v>77</v>
      </c>
    </row>
    <row r="21" spans="1:15" x14ac:dyDescent="0.3">
      <c r="A21" s="11" t="s">
        <v>120</v>
      </c>
      <c r="B21" s="4" t="s">
        <v>32</v>
      </c>
      <c r="C21" s="4" t="s">
        <v>37</v>
      </c>
      <c r="D21" s="4" t="s">
        <v>47</v>
      </c>
      <c r="E21" s="4" t="s">
        <v>47</v>
      </c>
      <c r="F21" s="4" t="s">
        <v>73</v>
      </c>
      <c r="G21" s="4" t="s">
        <v>73</v>
      </c>
      <c r="H21" s="4" t="s">
        <v>121</v>
      </c>
      <c r="I21" s="9">
        <v>140000000</v>
      </c>
      <c r="J21" s="9">
        <v>40978063</v>
      </c>
      <c r="K21" s="9">
        <v>99021937</v>
      </c>
      <c r="L21" s="10">
        <v>0.29270045</v>
      </c>
      <c r="M21" s="4" t="s">
        <v>99</v>
      </c>
      <c r="N21" s="4" t="s">
        <v>76</v>
      </c>
      <c r="O21" s="12" t="s">
        <v>77</v>
      </c>
    </row>
    <row r="22" spans="1:15" x14ac:dyDescent="0.3">
      <c r="A22" s="11" t="s">
        <v>122</v>
      </c>
      <c r="B22" s="4" t="s">
        <v>32</v>
      </c>
      <c r="C22" s="4" t="s">
        <v>37</v>
      </c>
      <c r="D22" s="4" t="s">
        <v>47</v>
      </c>
      <c r="E22" s="4" t="s">
        <v>47</v>
      </c>
      <c r="F22" s="4" t="s">
        <v>73</v>
      </c>
      <c r="G22" s="4" t="s">
        <v>73</v>
      </c>
      <c r="H22" s="4" t="s">
        <v>123</v>
      </c>
      <c r="I22" s="9">
        <v>7500000</v>
      </c>
      <c r="J22" s="9">
        <v>0</v>
      </c>
      <c r="K22" s="9">
        <v>7500000</v>
      </c>
      <c r="L22" s="10">
        <v>0</v>
      </c>
      <c r="M22" s="4" t="s">
        <v>92</v>
      </c>
      <c r="N22" s="4" t="s">
        <v>76</v>
      </c>
      <c r="O22" s="12" t="s">
        <v>77</v>
      </c>
    </row>
    <row r="23" spans="1:15" x14ac:dyDescent="0.3">
      <c r="A23" s="11" t="s">
        <v>124</v>
      </c>
      <c r="B23" s="4" t="s">
        <v>32</v>
      </c>
      <c r="C23" s="4" t="s">
        <v>37</v>
      </c>
      <c r="D23" s="4" t="s">
        <v>47</v>
      </c>
      <c r="E23" s="4" t="s">
        <v>47</v>
      </c>
      <c r="F23" s="4" t="s">
        <v>73</v>
      </c>
      <c r="G23" s="4" t="s">
        <v>73</v>
      </c>
      <c r="H23" s="4" t="s">
        <v>125</v>
      </c>
      <c r="I23" s="9">
        <v>124861000</v>
      </c>
      <c r="J23" s="9">
        <v>92719221</v>
      </c>
      <c r="K23" s="9">
        <v>32141779</v>
      </c>
      <c r="L23" s="10">
        <v>0.74257951642226161</v>
      </c>
      <c r="M23" s="4" t="s">
        <v>80</v>
      </c>
      <c r="N23" s="4" t="s">
        <v>76</v>
      </c>
      <c r="O23" s="12" t="s">
        <v>77</v>
      </c>
    </row>
    <row r="24" spans="1:15" ht="28.8" x14ac:dyDescent="0.3">
      <c r="A24" s="11" t="s">
        <v>126</v>
      </c>
      <c r="B24" s="4" t="s">
        <v>32</v>
      </c>
      <c r="C24" s="4" t="s">
        <v>37</v>
      </c>
      <c r="D24" s="4" t="s">
        <v>47</v>
      </c>
      <c r="E24" s="4" t="s">
        <v>47</v>
      </c>
      <c r="F24" s="4" t="s">
        <v>73</v>
      </c>
      <c r="G24" s="4" t="s">
        <v>73</v>
      </c>
      <c r="H24" s="4" t="s">
        <v>127</v>
      </c>
      <c r="I24" s="9">
        <v>164445000</v>
      </c>
      <c r="J24" s="9">
        <v>3545125</v>
      </c>
      <c r="K24" s="9">
        <v>160899875</v>
      </c>
      <c r="L24" s="10">
        <v>2.155811973608197E-2</v>
      </c>
      <c r="M24" s="4" t="s">
        <v>89</v>
      </c>
      <c r="N24" s="4" t="s">
        <v>76</v>
      </c>
      <c r="O24" s="12" t="s">
        <v>77</v>
      </c>
    </row>
    <row r="25" spans="1:15" x14ac:dyDescent="0.3">
      <c r="A25" s="11" t="s">
        <v>128</v>
      </c>
      <c r="B25" s="4" t="s">
        <v>32</v>
      </c>
      <c r="C25" s="4" t="s">
        <v>37</v>
      </c>
      <c r="D25" s="4" t="s">
        <v>47</v>
      </c>
      <c r="E25" s="4" t="s">
        <v>47</v>
      </c>
      <c r="F25" s="4" t="s">
        <v>73</v>
      </c>
      <c r="G25" s="4" t="s">
        <v>73</v>
      </c>
      <c r="H25" s="4" t="s">
        <v>129</v>
      </c>
      <c r="I25" s="9">
        <v>97883000</v>
      </c>
      <c r="J25" s="9">
        <v>76314585.290000007</v>
      </c>
      <c r="K25" s="9">
        <v>21568414.70999999</v>
      </c>
      <c r="L25" s="10">
        <v>0.77965106596651113</v>
      </c>
      <c r="M25" s="4" t="s">
        <v>75</v>
      </c>
      <c r="N25" s="4" t="s">
        <v>76</v>
      </c>
      <c r="O25" s="12" t="s">
        <v>77</v>
      </c>
    </row>
    <row r="26" spans="1:15" x14ac:dyDescent="0.3">
      <c r="A26" s="11" t="s">
        <v>130</v>
      </c>
      <c r="B26" s="4" t="s">
        <v>32</v>
      </c>
      <c r="C26" s="4" t="s">
        <v>37</v>
      </c>
      <c r="D26" s="4" t="s">
        <v>53</v>
      </c>
      <c r="E26" s="4" t="s">
        <v>53</v>
      </c>
      <c r="F26" s="4" t="s">
        <v>73</v>
      </c>
      <c r="G26" s="4" t="s">
        <v>73</v>
      </c>
      <c r="H26" s="4" t="s">
        <v>131</v>
      </c>
      <c r="I26" s="9">
        <v>26750000</v>
      </c>
      <c r="J26" s="9">
        <v>26551324</v>
      </c>
      <c r="K26" s="9">
        <v>198676</v>
      </c>
      <c r="L26" s="10">
        <v>0.99257285981308407</v>
      </c>
      <c r="M26" s="4" t="s">
        <v>75</v>
      </c>
      <c r="N26" s="4" t="s">
        <v>76</v>
      </c>
      <c r="O26" s="12" t="s">
        <v>77</v>
      </c>
    </row>
    <row r="27" spans="1:15" x14ac:dyDescent="0.3">
      <c r="A27" s="11" t="s">
        <v>132</v>
      </c>
      <c r="B27" s="4" t="s">
        <v>32</v>
      </c>
      <c r="C27" s="4" t="s">
        <v>37</v>
      </c>
      <c r="D27" s="4" t="s">
        <v>53</v>
      </c>
      <c r="E27" s="4" t="s">
        <v>53</v>
      </c>
      <c r="F27" s="4" t="s">
        <v>73</v>
      </c>
      <c r="G27" s="4" t="s">
        <v>73</v>
      </c>
      <c r="H27" s="4" t="s">
        <v>133</v>
      </c>
      <c r="I27" s="9">
        <v>6126000</v>
      </c>
      <c r="J27" s="9">
        <v>6099081</v>
      </c>
      <c r="K27" s="9">
        <v>26919</v>
      </c>
      <c r="L27" s="10">
        <v>0.99560577864838395</v>
      </c>
      <c r="M27" s="4" t="s">
        <v>75</v>
      </c>
      <c r="N27" s="4" t="s">
        <v>76</v>
      </c>
      <c r="O27" s="12" t="s">
        <v>77</v>
      </c>
    </row>
    <row r="28" spans="1:15" x14ac:dyDescent="0.3">
      <c r="A28" s="11" t="s">
        <v>134</v>
      </c>
      <c r="B28" s="4" t="s">
        <v>32</v>
      </c>
      <c r="C28" s="4" t="s">
        <v>37</v>
      </c>
      <c r="D28" s="4" t="s">
        <v>53</v>
      </c>
      <c r="E28" s="4" t="s">
        <v>53</v>
      </c>
      <c r="F28" s="4" t="s">
        <v>73</v>
      </c>
      <c r="G28" s="4" t="s">
        <v>73</v>
      </c>
      <c r="H28" s="4" t="s">
        <v>135</v>
      </c>
      <c r="I28" s="9">
        <v>816277000</v>
      </c>
      <c r="J28" s="9">
        <v>609960679</v>
      </c>
      <c r="K28" s="9">
        <v>206316321</v>
      </c>
      <c r="L28" s="10">
        <v>0.74724717099710025</v>
      </c>
      <c r="M28" s="4" t="s">
        <v>80</v>
      </c>
      <c r="N28" s="4" t="s">
        <v>76</v>
      </c>
      <c r="O28" s="12" t="s">
        <v>77</v>
      </c>
    </row>
    <row r="29" spans="1:15" x14ac:dyDescent="0.3">
      <c r="A29" s="11" t="s">
        <v>136</v>
      </c>
      <c r="B29" s="4" t="s">
        <v>32</v>
      </c>
      <c r="C29" s="4" t="s">
        <v>37</v>
      </c>
      <c r="D29" s="4" t="s">
        <v>53</v>
      </c>
      <c r="E29" s="4" t="s">
        <v>53</v>
      </c>
      <c r="F29" s="4" t="s">
        <v>73</v>
      </c>
      <c r="G29" s="4" t="s">
        <v>73</v>
      </c>
      <c r="H29" s="4" t="s">
        <v>137</v>
      </c>
      <c r="I29" s="9">
        <v>110820000</v>
      </c>
      <c r="J29" s="9">
        <v>84242040</v>
      </c>
      <c r="K29" s="9">
        <v>26577960</v>
      </c>
      <c r="L29" s="10">
        <v>0.76017000541418511</v>
      </c>
      <c r="M29" s="4" t="s">
        <v>75</v>
      </c>
      <c r="N29" s="4" t="s">
        <v>76</v>
      </c>
      <c r="O29" s="12" t="s">
        <v>77</v>
      </c>
    </row>
    <row r="30" spans="1:15" x14ac:dyDescent="0.3">
      <c r="A30" s="11" t="s">
        <v>138</v>
      </c>
      <c r="B30" s="4" t="s">
        <v>32</v>
      </c>
      <c r="C30" s="4" t="s">
        <v>37</v>
      </c>
      <c r="D30" s="4" t="s">
        <v>53</v>
      </c>
      <c r="E30" s="4" t="s">
        <v>53</v>
      </c>
      <c r="F30" s="4" t="s">
        <v>73</v>
      </c>
      <c r="G30" s="4" t="s">
        <v>73</v>
      </c>
      <c r="H30" s="4" t="s">
        <v>139</v>
      </c>
      <c r="I30" s="9">
        <v>200328000</v>
      </c>
      <c r="J30" s="9">
        <v>17112512</v>
      </c>
      <c r="K30" s="9">
        <v>183215488</v>
      </c>
      <c r="L30" s="10">
        <v>8.5422467153867657E-2</v>
      </c>
      <c r="M30" s="4" t="s">
        <v>89</v>
      </c>
      <c r="N30" s="4" t="s">
        <v>76</v>
      </c>
      <c r="O30" s="12" t="s">
        <v>77</v>
      </c>
    </row>
    <row r="31" spans="1:15" x14ac:dyDescent="0.3">
      <c r="A31" s="11" t="s">
        <v>140</v>
      </c>
      <c r="B31" s="4" t="s">
        <v>32</v>
      </c>
      <c r="C31" s="4" t="s">
        <v>37</v>
      </c>
      <c r="D31" s="4" t="s">
        <v>53</v>
      </c>
      <c r="E31" s="4" t="s">
        <v>53</v>
      </c>
      <c r="F31" s="4" t="s">
        <v>73</v>
      </c>
      <c r="G31" s="4" t="s">
        <v>73</v>
      </c>
      <c r="H31" s="4" t="s">
        <v>141</v>
      </c>
      <c r="I31" s="9">
        <v>65000000</v>
      </c>
      <c r="J31" s="9">
        <v>0</v>
      </c>
      <c r="K31" s="9">
        <v>65000000</v>
      </c>
      <c r="L31" s="10">
        <v>0</v>
      </c>
      <c r="M31" s="4" t="s">
        <v>92</v>
      </c>
      <c r="N31" s="4" t="s">
        <v>76</v>
      </c>
      <c r="O31" s="12" t="s">
        <v>77</v>
      </c>
    </row>
    <row r="32" spans="1:15" x14ac:dyDescent="0.3">
      <c r="A32" s="11" t="s">
        <v>142</v>
      </c>
      <c r="B32" s="4" t="s">
        <v>32</v>
      </c>
      <c r="C32" s="4" t="s">
        <v>37</v>
      </c>
      <c r="D32" s="4" t="s">
        <v>53</v>
      </c>
      <c r="E32" s="4" t="s">
        <v>53</v>
      </c>
      <c r="F32" s="4" t="s">
        <v>73</v>
      </c>
      <c r="G32" s="4" t="s">
        <v>73</v>
      </c>
      <c r="H32" s="4" t="s">
        <v>143</v>
      </c>
      <c r="I32" s="9">
        <v>67000000</v>
      </c>
      <c r="J32" s="9">
        <v>0</v>
      </c>
      <c r="K32" s="9">
        <v>67000000</v>
      </c>
      <c r="L32" s="10">
        <v>0</v>
      </c>
      <c r="M32" s="4" t="s">
        <v>92</v>
      </c>
      <c r="N32" s="4" t="s">
        <v>76</v>
      </c>
      <c r="O32" s="12" t="s">
        <v>77</v>
      </c>
    </row>
    <row r="33" spans="1:15" x14ac:dyDescent="0.3">
      <c r="A33" s="11" t="s">
        <v>144</v>
      </c>
      <c r="B33" s="4" t="s">
        <v>32</v>
      </c>
      <c r="C33" s="4" t="s">
        <v>37</v>
      </c>
      <c r="D33" s="4" t="s">
        <v>53</v>
      </c>
      <c r="E33" s="4" t="s">
        <v>53</v>
      </c>
      <c r="F33" s="4" t="s">
        <v>73</v>
      </c>
      <c r="G33" s="4" t="s">
        <v>73</v>
      </c>
      <c r="H33" s="4" t="s">
        <v>145</v>
      </c>
      <c r="I33" s="9">
        <v>4978000</v>
      </c>
      <c r="J33" s="9">
        <v>4059836</v>
      </c>
      <c r="K33" s="9">
        <v>918164</v>
      </c>
      <c r="L33" s="10">
        <v>0.81555564483728404</v>
      </c>
      <c r="M33" s="4" t="s">
        <v>75</v>
      </c>
      <c r="N33" s="4" t="s">
        <v>76</v>
      </c>
      <c r="O33" s="12" t="s">
        <v>77</v>
      </c>
    </row>
    <row r="34" spans="1:15" x14ac:dyDescent="0.3">
      <c r="A34" s="11" t="s">
        <v>146</v>
      </c>
      <c r="B34" s="4" t="s">
        <v>32</v>
      </c>
      <c r="C34" s="4" t="s">
        <v>37</v>
      </c>
      <c r="D34" s="4" t="s">
        <v>46</v>
      </c>
      <c r="E34" s="4" t="s">
        <v>46</v>
      </c>
      <c r="F34" s="4" t="s">
        <v>73</v>
      </c>
      <c r="G34" s="4" t="s">
        <v>73</v>
      </c>
      <c r="H34" s="4" t="s">
        <v>147</v>
      </c>
      <c r="I34" s="9">
        <v>57500000</v>
      </c>
      <c r="J34" s="9">
        <v>51782356</v>
      </c>
      <c r="K34" s="9">
        <v>5717644</v>
      </c>
      <c r="L34" s="10">
        <v>0.90056271304347824</v>
      </c>
      <c r="M34" s="4" t="s">
        <v>75</v>
      </c>
      <c r="N34" s="4" t="s">
        <v>76</v>
      </c>
      <c r="O34" s="12" t="s">
        <v>77</v>
      </c>
    </row>
    <row r="35" spans="1:15" ht="28.8" x14ac:dyDescent="0.3">
      <c r="A35" s="11" t="s">
        <v>148</v>
      </c>
      <c r="B35" s="4" t="s">
        <v>32</v>
      </c>
      <c r="C35" s="4" t="s">
        <v>37</v>
      </c>
      <c r="D35" s="4" t="s">
        <v>46</v>
      </c>
      <c r="E35" s="4" t="s">
        <v>46</v>
      </c>
      <c r="F35" s="4" t="s">
        <v>73</v>
      </c>
      <c r="G35" s="4" t="s">
        <v>73</v>
      </c>
      <c r="H35" s="4" t="s">
        <v>149</v>
      </c>
      <c r="I35" s="9">
        <v>90000000</v>
      </c>
      <c r="J35" s="9">
        <v>78847538</v>
      </c>
      <c r="K35" s="9">
        <v>11152462</v>
      </c>
      <c r="L35" s="10">
        <v>0.87608375555555551</v>
      </c>
      <c r="M35" s="4" t="s">
        <v>75</v>
      </c>
      <c r="N35" s="4" t="s">
        <v>76</v>
      </c>
      <c r="O35" s="12" t="s">
        <v>77</v>
      </c>
    </row>
    <row r="36" spans="1:15" x14ac:dyDescent="0.3">
      <c r="A36" s="11" t="s">
        <v>150</v>
      </c>
      <c r="B36" s="4" t="s">
        <v>32</v>
      </c>
      <c r="C36" s="4" t="s">
        <v>37</v>
      </c>
      <c r="D36" s="4" t="s">
        <v>46</v>
      </c>
      <c r="E36" s="4" t="s">
        <v>46</v>
      </c>
      <c r="F36" s="4" t="s">
        <v>73</v>
      </c>
      <c r="G36" s="4" t="s">
        <v>73</v>
      </c>
      <c r="H36" s="4" t="s">
        <v>151</v>
      </c>
      <c r="I36" s="9">
        <v>2402000</v>
      </c>
      <c r="J36" s="9">
        <v>1000691</v>
      </c>
      <c r="K36" s="9">
        <v>1401309</v>
      </c>
      <c r="L36" s="10">
        <v>0.41660741049125732</v>
      </c>
      <c r="M36" s="4" t="s">
        <v>99</v>
      </c>
      <c r="N36" s="4" t="s">
        <v>76</v>
      </c>
      <c r="O36" s="12" t="s">
        <v>77</v>
      </c>
    </row>
    <row r="37" spans="1:15" x14ac:dyDescent="0.3">
      <c r="A37" s="11" t="s">
        <v>152</v>
      </c>
      <c r="B37" s="4" t="s">
        <v>32</v>
      </c>
      <c r="C37" s="4" t="s">
        <v>37</v>
      </c>
      <c r="D37" s="4" t="s">
        <v>46</v>
      </c>
      <c r="E37" s="4" t="s">
        <v>46</v>
      </c>
      <c r="F37" s="4" t="s">
        <v>73</v>
      </c>
      <c r="G37" s="4" t="s">
        <v>73</v>
      </c>
      <c r="H37" s="4" t="s">
        <v>153</v>
      </c>
      <c r="I37" s="9">
        <v>300000</v>
      </c>
      <c r="J37" s="9">
        <v>0</v>
      </c>
      <c r="K37" s="9">
        <v>300000</v>
      </c>
      <c r="L37" s="10">
        <v>0</v>
      </c>
      <c r="M37" s="4" t="s">
        <v>92</v>
      </c>
      <c r="N37" s="4" t="s">
        <v>76</v>
      </c>
      <c r="O37" s="12" t="s">
        <v>77</v>
      </c>
    </row>
    <row r="38" spans="1:15" x14ac:dyDescent="0.3">
      <c r="A38" s="11" t="s">
        <v>154</v>
      </c>
      <c r="B38" s="4" t="s">
        <v>32</v>
      </c>
      <c r="C38" s="4" t="s">
        <v>37</v>
      </c>
      <c r="D38" s="4" t="s">
        <v>46</v>
      </c>
      <c r="E38" s="4" t="s">
        <v>46</v>
      </c>
      <c r="F38" s="4" t="s">
        <v>73</v>
      </c>
      <c r="G38" s="4" t="s">
        <v>73</v>
      </c>
      <c r="H38" s="4" t="s">
        <v>155</v>
      </c>
      <c r="I38" s="9">
        <v>10000000</v>
      </c>
      <c r="J38" s="9">
        <v>4994960</v>
      </c>
      <c r="K38" s="9">
        <v>5005040</v>
      </c>
      <c r="L38" s="10">
        <v>0.499496</v>
      </c>
      <c r="M38" s="4" t="s">
        <v>99</v>
      </c>
      <c r="N38" s="4" t="s">
        <v>76</v>
      </c>
      <c r="O38" s="12" t="s">
        <v>77</v>
      </c>
    </row>
    <row r="39" spans="1:15" x14ac:dyDescent="0.3">
      <c r="A39" s="11" t="s">
        <v>156</v>
      </c>
      <c r="B39" s="4" t="s">
        <v>32</v>
      </c>
      <c r="C39" s="4" t="s">
        <v>37</v>
      </c>
      <c r="D39" s="4" t="s">
        <v>46</v>
      </c>
      <c r="E39" s="4" t="s">
        <v>46</v>
      </c>
      <c r="F39" s="4" t="s">
        <v>73</v>
      </c>
      <c r="G39" s="4" t="s">
        <v>73</v>
      </c>
      <c r="H39" s="4" t="s">
        <v>157</v>
      </c>
      <c r="I39" s="9">
        <v>10000000</v>
      </c>
      <c r="J39" s="9">
        <v>3492446</v>
      </c>
      <c r="K39" s="9">
        <v>6507554</v>
      </c>
      <c r="L39" s="10">
        <v>0.34924460000000002</v>
      </c>
      <c r="M39" s="4" t="s">
        <v>99</v>
      </c>
      <c r="N39" s="4" t="s">
        <v>76</v>
      </c>
      <c r="O39" s="12" t="s">
        <v>77</v>
      </c>
    </row>
    <row r="40" spans="1:15" x14ac:dyDescent="0.3">
      <c r="A40" s="11" t="s">
        <v>158</v>
      </c>
      <c r="B40" s="4" t="s">
        <v>32</v>
      </c>
      <c r="C40" s="4" t="s">
        <v>37</v>
      </c>
      <c r="D40" s="4" t="s">
        <v>46</v>
      </c>
      <c r="E40" s="4" t="s">
        <v>46</v>
      </c>
      <c r="F40" s="4" t="s">
        <v>73</v>
      </c>
      <c r="G40" s="4" t="s">
        <v>73</v>
      </c>
      <c r="H40" s="4" t="s">
        <v>159</v>
      </c>
      <c r="I40" s="9">
        <v>50000000</v>
      </c>
      <c r="J40" s="9">
        <v>5397956</v>
      </c>
      <c r="K40" s="9">
        <v>44602044</v>
      </c>
      <c r="L40" s="10">
        <v>0.10795912000000001</v>
      </c>
      <c r="M40" s="4" t="s">
        <v>89</v>
      </c>
      <c r="N40" s="4" t="s">
        <v>76</v>
      </c>
      <c r="O40" s="12" t="s">
        <v>77</v>
      </c>
    </row>
    <row r="41" spans="1:15" x14ac:dyDescent="0.3">
      <c r="A41" s="11" t="s">
        <v>160</v>
      </c>
      <c r="B41" s="4" t="s">
        <v>32</v>
      </c>
      <c r="C41" s="4" t="s">
        <v>37</v>
      </c>
      <c r="D41" s="4" t="s">
        <v>46</v>
      </c>
      <c r="E41" s="4" t="s">
        <v>46</v>
      </c>
      <c r="F41" s="4" t="s">
        <v>73</v>
      </c>
      <c r="G41" s="4" t="s">
        <v>73</v>
      </c>
      <c r="H41" s="4" t="s">
        <v>161</v>
      </c>
      <c r="I41" s="9">
        <v>100000000</v>
      </c>
      <c r="J41" s="9">
        <v>70946265</v>
      </c>
      <c r="K41" s="9">
        <v>29053735</v>
      </c>
      <c r="L41" s="10">
        <v>0.70946264999999997</v>
      </c>
      <c r="M41" s="4" t="s">
        <v>80</v>
      </c>
      <c r="N41" s="4" t="s">
        <v>76</v>
      </c>
      <c r="O41" s="12" t="s">
        <v>77</v>
      </c>
    </row>
    <row r="42" spans="1:15" x14ac:dyDescent="0.3">
      <c r="A42" s="11" t="s">
        <v>162</v>
      </c>
      <c r="B42" s="4" t="s">
        <v>32</v>
      </c>
      <c r="C42" s="4" t="s">
        <v>37</v>
      </c>
      <c r="D42" s="4" t="s">
        <v>46</v>
      </c>
      <c r="E42" s="4" t="s">
        <v>46</v>
      </c>
      <c r="F42" s="4" t="s">
        <v>73</v>
      </c>
      <c r="G42" s="4" t="s">
        <v>73</v>
      </c>
      <c r="H42" s="4" t="s">
        <v>163</v>
      </c>
      <c r="I42" s="9">
        <v>5000000</v>
      </c>
      <c r="J42" s="9">
        <v>4965800</v>
      </c>
      <c r="K42" s="9">
        <v>34200</v>
      </c>
      <c r="L42" s="10">
        <v>0.99316000000000004</v>
      </c>
      <c r="M42" s="4" t="s">
        <v>75</v>
      </c>
      <c r="N42" s="4" t="s">
        <v>76</v>
      </c>
      <c r="O42" s="12" t="s">
        <v>77</v>
      </c>
    </row>
    <row r="43" spans="1:15" x14ac:dyDescent="0.3">
      <c r="A43" s="11" t="s">
        <v>164</v>
      </c>
      <c r="B43" s="4" t="s">
        <v>32</v>
      </c>
      <c r="C43" s="4" t="s">
        <v>38</v>
      </c>
      <c r="D43" s="4" t="s">
        <v>48</v>
      </c>
      <c r="E43" s="4" t="s">
        <v>48</v>
      </c>
      <c r="F43" s="4" t="s">
        <v>73</v>
      </c>
      <c r="G43" s="4" t="s">
        <v>73</v>
      </c>
      <c r="H43" s="4" t="s">
        <v>165</v>
      </c>
      <c r="I43" s="9">
        <v>4926927000</v>
      </c>
      <c r="J43" s="9">
        <v>241661973</v>
      </c>
      <c r="K43" s="9">
        <v>4685265027</v>
      </c>
      <c r="L43" s="10">
        <v>4.9049229468997611E-2</v>
      </c>
      <c r="M43" s="4" t="s">
        <v>89</v>
      </c>
      <c r="N43" s="4" t="s">
        <v>76</v>
      </c>
      <c r="O43" s="12" t="s">
        <v>77</v>
      </c>
    </row>
    <row r="44" spans="1:15" x14ac:dyDescent="0.3">
      <c r="A44" s="11" t="s">
        <v>166</v>
      </c>
      <c r="B44" s="4" t="s">
        <v>32</v>
      </c>
      <c r="C44" s="4" t="s">
        <v>38</v>
      </c>
      <c r="D44" s="4" t="s">
        <v>48</v>
      </c>
      <c r="E44" s="4" t="s">
        <v>48</v>
      </c>
      <c r="F44" s="4" t="s">
        <v>73</v>
      </c>
      <c r="G44" s="4" t="s">
        <v>73</v>
      </c>
      <c r="H44" s="4" t="s">
        <v>167</v>
      </c>
      <c r="I44" s="9">
        <v>970000000</v>
      </c>
      <c r="J44" s="9">
        <v>169380350</v>
      </c>
      <c r="K44" s="9">
        <v>800619650</v>
      </c>
      <c r="L44" s="10">
        <v>0.17461891752577319</v>
      </c>
      <c r="M44" s="4" t="s">
        <v>89</v>
      </c>
      <c r="N44" s="4" t="s">
        <v>76</v>
      </c>
      <c r="O44" s="12" t="s">
        <v>77</v>
      </c>
    </row>
    <row r="45" spans="1:15" x14ac:dyDescent="0.3">
      <c r="A45" s="11" t="s">
        <v>168</v>
      </c>
      <c r="B45" s="4" t="s">
        <v>32</v>
      </c>
      <c r="C45" s="4" t="s">
        <v>38</v>
      </c>
      <c r="D45" s="4" t="s">
        <v>48</v>
      </c>
      <c r="E45" s="4" t="s">
        <v>48</v>
      </c>
      <c r="F45" s="4" t="s">
        <v>73</v>
      </c>
      <c r="G45" s="4" t="s">
        <v>73</v>
      </c>
      <c r="H45" s="4" t="s">
        <v>169</v>
      </c>
      <c r="I45" s="9">
        <v>280000000</v>
      </c>
      <c r="J45" s="9">
        <v>31295652</v>
      </c>
      <c r="K45" s="9">
        <v>248704348</v>
      </c>
      <c r="L45" s="10">
        <v>0.11177018571428569</v>
      </c>
      <c r="M45" s="4" t="s">
        <v>89</v>
      </c>
      <c r="N45" s="4" t="s">
        <v>76</v>
      </c>
      <c r="O45" s="12" t="s">
        <v>77</v>
      </c>
    </row>
    <row r="46" spans="1:15" x14ac:dyDescent="0.3">
      <c r="A46" s="11" t="s">
        <v>170</v>
      </c>
      <c r="B46" s="4" t="s">
        <v>32</v>
      </c>
      <c r="C46" s="4" t="s">
        <v>38</v>
      </c>
      <c r="D46" s="4" t="s">
        <v>51</v>
      </c>
      <c r="E46" s="4" t="s">
        <v>51</v>
      </c>
      <c r="F46" s="4" t="s">
        <v>73</v>
      </c>
      <c r="G46" s="4" t="s">
        <v>73</v>
      </c>
      <c r="H46" s="4" t="s">
        <v>171</v>
      </c>
      <c r="I46" s="9">
        <v>750000000</v>
      </c>
      <c r="J46" s="9">
        <v>105245048</v>
      </c>
      <c r="K46" s="9">
        <v>644754952</v>
      </c>
      <c r="L46" s="10">
        <v>0.1403267306666667</v>
      </c>
      <c r="M46" s="4" t="s">
        <v>89</v>
      </c>
      <c r="N46" s="4" t="s">
        <v>76</v>
      </c>
      <c r="O46" s="12" t="s">
        <v>77</v>
      </c>
    </row>
    <row r="47" spans="1:15" x14ac:dyDescent="0.3">
      <c r="A47" s="11" t="s">
        <v>172</v>
      </c>
      <c r="B47" s="4" t="s">
        <v>32</v>
      </c>
      <c r="C47" s="4" t="s">
        <v>38</v>
      </c>
      <c r="D47" s="4" t="s">
        <v>51</v>
      </c>
      <c r="E47" s="4" t="s">
        <v>51</v>
      </c>
      <c r="F47" s="4" t="s">
        <v>73</v>
      </c>
      <c r="G47" s="4" t="s">
        <v>73</v>
      </c>
      <c r="H47" s="4" t="s">
        <v>173</v>
      </c>
      <c r="I47" s="9">
        <v>1000000000</v>
      </c>
      <c r="J47" s="9">
        <v>0</v>
      </c>
      <c r="K47" s="9">
        <v>1000000000</v>
      </c>
      <c r="L47" s="10">
        <v>0</v>
      </c>
      <c r="M47" s="4" t="s">
        <v>92</v>
      </c>
      <c r="N47" s="4" t="s">
        <v>76</v>
      </c>
      <c r="O47" s="12" t="s">
        <v>77</v>
      </c>
    </row>
    <row r="48" spans="1:15" x14ac:dyDescent="0.3">
      <c r="A48" s="11" t="s">
        <v>174</v>
      </c>
      <c r="B48" s="4" t="s">
        <v>32</v>
      </c>
      <c r="C48" s="4" t="s">
        <v>38</v>
      </c>
      <c r="D48" s="4" t="s">
        <v>51</v>
      </c>
      <c r="E48" s="4" t="s">
        <v>51</v>
      </c>
      <c r="F48" s="4" t="s">
        <v>73</v>
      </c>
      <c r="G48" s="4" t="s">
        <v>73</v>
      </c>
      <c r="H48" s="4" t="s">
        <v>175</v>
      </c>
      <c r="I48" s="9">
        <v>152900000</v>
      </c>
      <c r="J48" s="9">
        <v>2847231</v>
      </c>
      <c r="K48" s="9">
        <v>150052769</v>
      </c>
      <c r="L48" s="10">
        <v>1.8621523871811641E-2</v>
      </c>
      <c r="M48" s="4" t="s">
        <v>89</v>
      </c>
      <c r="N48" s="4" t="s">
        <v>76</v>
      </c>
      <c r="O48" s="12" t="s">
        <v>77</v>
      </c>
    </row>
    <row r="49" spans="1:15" x14ac:dyDescent="0.3">
      <c r="A49" s="11" t="s">
        <v>176</v>
      </c>
      <c r="B49" s="4" t="s">
        <v>32</v>
      </c>
      <c r="C49" s="4" t="s">
        <v>38</v>
      </c>
      <c r="D49" s="4" t="s">
        <v>52</v>
      </c>
      <c r="E49" s="4" t="s">
        <v>52</v>
      </c>
      <c r="F49" s="4" t="s">
        <v>73</v>
      </c>
      <c r="G49" s="4" t="s">
        <v>73</v>
      </c>
      <c r="H49" s="4" t="s">
        <v>177</v>
      </c>
      <c r="I49" s="9">
        <v>2000000000</v>
      </c>
      <c r="J49" s="9">
        <v>366520591</v>
      </c>
      <c r="K49" s="9">
        <v>1633479409</v>
      </c>
      <c r="L49" s="10">
        <v>0.1832602955</v>
      </c>
      <c r="M49" s="4" t="s">
        <v>89</v>
      </c>
      <c r="N49" s="4" t="s">
        <v>76</v>
      </c>
      <c r="O49" s="12" t="s">
        <v>77</v>
      </c>
    </row>
    <row r="50" spans="1:15" x14ac:dyDescent="0.3">
      <c r="A50" s="11" t="s">
        <v>178</v>
      </c>
      <c r="B50" s="4" t="s">
        <v>32</v>
      </c>
      <c r="C50" s="4" t="s">
        <v>38</v>
      </c>
      <c r="D50" s="4" t="s">
        <v>52</v>
      </c>
      <c r="E50" s="4" t="s">
        <v>52</v>
      </c>
      <c r="F50" s="4" t="s">
        <v>73</v>
      </c>
      <c r="G50" s="4" t="s">
        <v>73</v>
      </c>
      <c r="H50" s="4" t="s">
        <v>179</v>
      </c>
      <c r="I50" s="9">
        <v>336231000</v>
      </c>
      <c r="J50" s="9">
        <v>269000</v>
      </c>
      <c r="K50" s="9">
        <v>335962000</v>
      </c>
      <c r="L50" s="10">
        <v>8.00045207015415E-4</v>
      </c>
      <c r="M50" s="4" t="s">
        <v>89</v>
      </c>
      <c r="N50" s="4" t="s">
        <v>76</v>
      </c>
      <c r="O50" s="12" t="s">
        <v>77</v>
      </c>
    </row>
    <row r="51" spans="1:15" x14ac:dyDescent="0.3">
      <c r="A51" s="11" t="s">
        <v>180</v>
      </c>
      <c r="B51" s="4" t="s">
        <v>32</v>
      </c>
      <c r="C51" s="4" t="s">
        <v>38</v>
      </c>
      <c r="D51" s="4" t="s">
        <v>52</v>
      </c>
      <c r="E51" s="4" t="s">
        <v>52</v>
      </c>
      <c r="F51" s="4" t="s">
        <v>73</v>
      </c>
      <c r="G51" s="4" t="s">
        <v>73</v>
      </c>
      <c r="H51" s="4" t="s">
        <v>109</v>
      </c>
      <c r="I51" s="9">
        <v>1140000000</v>
      </c>
      <c r="J51" s="9">
        <v>144022117</v>
      </c>
      <c r="K51" s="9">
        <v>995977883</v>
      </c>
      <c r="L51" s="10">
        <v>0.1263351903508772</v>
      </c>
      <c r="M51" s="4" t="s">
        <v>89</v>
      </c>
      <c r="N51" s="4" t="s">
        <v>76</v>
      </c>
      <c r="O51" s="12" t="s">
        <v>77</v>
      </c>
    </row>
    <row r="52" spans="1:15" x14ac:dyDescent="0.3">
      <c r="A52" s="11" t="s">
        <v>181</v>
      </c>
      <c r="B52" s="4" t="s">
        <v>32</v>
      </c>
      <c r="C52" s="4" t="s">
        <v>38</v>
      </c>
      <c r="D52" s="4" t="s">
        <v>47</v>
      </c>
      <c r="E52" s="4" t="s">
        <v>47</v>
      </c>
      <c r="F52" s="4" t="s">
        <v>73</v>
      </c>
      <c r="G52" s="4" t="s">
        <v>73</v>
      </c>
      <c r="H52" s="4" t="s">
        <v>182</v>
      </c>
      <c r="I52" s="9">
        <v>350000000</v>
      </c>
      <c r="J52" s="9">
        <v>5458832</v>
      </c>
      <c r="K52" s="9">
        <v>344541168</v>
      </c>
      <c r="L52" s="10">
        <v>1.5596662857142859E-2</v>
      </c>
      <c r="M52" s="4" t="s">
        <v>89</v>
      </c>
      <c r="N52" s="4" t="s">
        <v>76</v>
      </c>
      <c r="O52" s="12" t="s">
        <v>77</v>
      </c>
    </row>
    <row r="53" spans="1:15" x14ac:dyDescent="0.3">
      <c r="A53" s="11" t="s">
        <v>183</v>
      </c>
      <c r="B53" s="4" t="s">
        <v>32</v>
      </c>
      <c r="C53" s="4" t="s">
        <v>38</v>
      </c>
      <c r="D53" s="4" t="s">
        <v>47</v>
      </c>
      <c r="E53" s="4" t="s">
        <v>47</v>
      </c>
      <c r="F53" s="4" t="s">
        <v>73</v>
      </c>
      <c r="G53" s="4" t="s">
        <v>73</v>
      </c>
      <c r="H53" s="4" t="s">
        <v>184</v>
      </c>
      <c r="I53" s="9">
        <v>196600000</v>
      </c>
      <c r="J53" s="9">
        <v>2481286</v>
      </c>
      <c r="K53" s="9">
        <v>194118714</v>
      </c>
      <c r="L53" s="10">
        <v>1.262098677517803E-2</v>
      </c>
      <c r="M53" s="4" t="s">
        <v>89</v>
      </c>
      <c r="N53" s="4" t="s">
        <v>76</v>
      </c>
      <c r="O53" s="12" t="s">
        <v>77</v>
      </c>
    </row>
    <row r="54" spans="1:15" x14ac:dyDescent="0.3">
      <c r="A54" s="11" t="s">
        <v>185</v>
      </c>
      <c r="B54" s="4" t="s">
        <v>32</v>
      </c>
      <c r="C54" s="4" t="s">
        <v>38</v>
      </c>
      <c r="D54" s="4" t="s">
        <v>47</v>
      </c>
      <c r="E54" s="4" t="s">
        <v>47</v>
      </c>
      <c r="F54" s="4" t="s">
        <v>73</v>
      </c>
      <c r="G54" s="4" t="s">
        <v>73</v>
      </c>
      <c r="H54" s="4" t="s">
        <v>186</v>
      </c>
      <c r="I54" s="9">
        <v>220000000</v>
      </c>
      <c r="J54" s="9">
        <v>0</v>
      </c>
      <c r="K54" s="9">
        <v>220000000</v>
      </c>
      <c r="L54" s="10">
        <v>0</v>
      </c>
      <c r="M54" s="4" t="s">
        <v>92</v>
      </c>
      <c r="N54" s="4" t="s">
        <v>76</v>
      </c>
      <c r="O54" s="12" t="s">
        <v>77</v>
      </c>
    </row>
    <row r="55" spans="1:15" x14ac:dyDescent="0.3">
      <c r="A55" s="11" t="s">
        <v>187</v>
      </c>
      <c r="B55" s="4" t="s">
        <v>32</v>
      </c>
      <c r="C55" s="4" t="s">
        <v>38</v>
      </c>
      <c r="D55" s="4" t="s">
        <v>53</v>
      </c>
      <c r="E55" s="4" t="s">
        <v>53</v>
      </c>
      <c r="F55" s="4" t="s">
        <v>73</v>
      </c>
      <c r="G55" s="4" t="s">
        <v>73</v>
      </c>
      <c r="H55" s="4" t="s">
        <v>188</v>
      </c>
      <c r="I55" s="9">
        <v>1420521000</v>
      </c>
      <c r="J55" s="9">
        <v>124577650</v>
      </c>
      <c r="K55" s="9">
        <v>1295943350</v>
      </c>
      <c r="L55" s="10">
        <v>8.7698562710442157E-2</v>
      </c>
      <c r="M55" s="4" t="s">
        <v>89</v>
      </c>
      <c r="N55" s="4" t="s">
        <v>76</v>
      </c>
      <c r="O55" s="12" t="s">
        <v>77</v>
      </c>
    </row>
    <row r="56" spans="1:15" x14ac:dyDescent="0.3">
      <c r="A56" s="11" t="s">
        <v>189</v>
      </c>
      <c r="B56" s="4" t="s">
        <v>32</v>
      </c>
      <c r="C56" s="4" t="s">
        <v>38</v>
      </c>
      <c r="D56" s="4" t="s">
        <v>53</v>
      </c>
      <c r="E56" s="4" t="s">
        <v>53</v>
      </c>
      <c r="F56" s="4" t="s">
        <v>73</v>
      </c>
      <c r="G56" s="4" t="s">
        <v>73</v>
      </c>
      <c r="H56" s="4" t="s">
        <v>139</v>
      </c>
      <c r="I56" s="9">
        <v>200000000</v>
      </c>
      <c r="J56" s="9">
        <v>0</v>
      </c>
      <c r="K56" s="9">
        <v>200000000</v>
      </c>
      <c r="L56" s="10">
        <v>0</v>
      </c>
      <c r="M56" s="4" t="s">
        <v>92</v>
      </c>
      <c r="N56" s="4" t="s">
        <v>76</v>
      </c>
      <c r="O56" s="12" t="s">
        <v>77</v>
      </c>
    </row>
    <row r="57" spans="1:15" x14ac:dyDescent="0.3">
      <c r="A57" s="11" t="s">
        <v>190</v>
      </c>
      <c r="B57" s="4" t="s">
        <v>32</v>
      </c>
      <c r="C57" s="4" t="s">
        <v>38</v>
      </c>
      <c r="D57" s="4" t="s">
        <v>53</v>
      </c>
      <c r="E57" s="4" t="s">
        <v>53</v>
      </c>
      <c r="F57" s="4" t="s">
        <v>73</v>
      </c>
      <c r="G57" s="4" t="s">
        <v>73</v>
      </c>
      <c r="H57" s="4" t="s">
        <v>143</v>
      </c>
      <c r="I57" s="9">
        <v>67000000</v>
      </c>
      <c r="J57" s="9">
        <v>0</v>
      </c>
      <c r="K57" s="9">
        <v>67000000</v>
      </c>
      <c r="L57" s="10">
        <v>0</v>
      </c>
      <c r="M57" s="4" t="s">
        <v>92</v>
      </c>
      <c r="N57" s="4" t="s">
        <v>76</v>
      </c>
      <c r="O57" s="12" t="s">
        <v>77</v>
      </c>
    </row>
    <row r="58" spans="1:15" x14ac:dyDescent="0.3">
      <c r="A58" s="11" t="s">
        <v>191</v>
      </c>
      <c r="B58" s="4" t="s">
        <v>32</v>
      </c>
      <c r="C58" s="4" t="s">
        <v>38</v>
      </c>
      <c r="D58" s="4" t="s">
        <v>46</v>
      </c>
      <c r="E58" s="4" t="s">
        <v>46</v>
      </c>
      <c r="F58" s="4" t="s">
        <v>73</v>
      </c>
      <c r="G58" s="4" t="s">
        <v>73</v>
      </c>
      <c r="H58" s="4" t="s">
        <v>192</v>
      </c>
      <c r="I58" s="9">
        <v>853301000</v>
      </c>
      <c r="J58" s="9">
        <v>67001458</v>
      </c>
      <c r="K58" s="9">
        <v>786299542</v>
      </c>
      <c r="L58" s="10">
        <v>7.8520308777324771E-2</v>
      </c>
      <c r="M58" s="4" t="s">
        <v>89</v>
      </c>
      <c r="N58" s="4" t="s">
        <v>76</v>
      </c>
      <c r="O58" s="12" t="s">
        <v>77</v>
      </c>
    </row>
    <row r="59" spans="1:15" x14ac:dyDescent="0.3">
      <c r="A59" s="11" t="s">
        <v>193</v>
      </c>
      <c r="B59" s="4" t="s">
        <v>32</v>
      </c>
      <c r="C59" s="4" t="s">
        <v>38</v>
      </c>
      <c r="D59" s="4" t="s">
        <v>46</v>
      </c>
      <c r="E59" s="4" t="s">
        <v>46</v>
      </c>
      <c r="F59" s="4" t="s">
        <v>73</v>
      </c>
      <c r="G59" s="4" t="s">
        <v>73</v>
      </c>
      <c r="H59" s="4" t="s">
        <v>161</v>
      </c>
      <c r="I59" s="9">
        <v>150000000</v>
      </c>
      <c r="J59" s="9">
        <v>2515174</v>
      </c>
      <c r="K59" s="9">
        <v>147484826</v>
      </c>
      <c r="L59" s="10">
        <v>1.6767826666666669E-2</v>
      </c>
      <c r="M59" s="4" t="s">
        <v>89</v>
      </c>
      <c r="N59" s="4" t="s">
        <v>76</v>
      </c>
      <c r="O59" s="12" t="s">
        <v>77</v>
      </c>
    </row>
    <row r="60" spans="1:15" x14ac:dyDescent="0.3">
      <c r="A60" s="11" t="s">
        <v>194</v>
      </c>
      <c r="B60" s="4" t="s">
        <v>32</v>
      </c>
      <c r="C60" s="4" t="s">
        <v>38</v>
      </c>
      <c r="D60" s="4" t="s">
        <v>46</v>
      </c>
      <c r="E60" s="4" t="s">
        <v>46</v>
      </c>
      <c r="F60" s="4" t="s">
        <v>73</v>
      </c>
      <c r="G60" s="4" t="s">
        <v>73</v>
      </c>
      <c r="H60" s="4" t="s">
        <v>195</v>
      </c>
      <c r="I60" s="9">
        <v>50000000</v>
      </c>
      <c r="J60" s="9">
        <v>912480</v>
      </c>
      <c r="K60" s="9">
        <v>49087520</v>
      </c>
      <c r="L60" s="10">
        <v>1.8249600000000001E-2</v>
      </c>
      <c r="M60" s="4" t="s">
        <v>89</v>
      </c>
      <c r="N60" s="4" t="s">
        <v>76</v>
      </c>
      <c r="O60" s="12" t="s">
        <v>77</v>
      </c>
    </row>
    <row r="61" spans="1:15" x14ac:dyDescent="0.3">
      <c r="A61" s="11" t="s">
        <v>196</v>
      </c>
      <c r="B61" s="4" t="s">
        <v>34</v>
      </c>
      <c r="C61" s="4" t="s">
        <v>35</v>
      </c>
      <c r="D61" s="4" t="s">
        <v>48</v>
      </c>
      <c r="E61" s="4" t="s">
        <v>48</v>
      </c>
      <c r="F61" s="4" t="s">
        <v>73</v>
      </c>
      <c r="G61" s="4" t="s">
        <v>73</v>
      </c>
      <c r="H61" s="4" t="s">
        <v>48</v>
      </c>
      <c r="I61" s="9">
        <v>1050332000</v>
      </c>
      <c r="J61" s="9">
        <v>897142145</v>
      </c>
      <c r="K61" s="9">
        <v>153189855</v>
      </c>
      <c r="L61" s="10">
        <v>0.85415101605968402</v>
      </c>
      <c r="M61" s="4" t="s">
        <v>75</v>
      </c>
      <c r="N61" s="4" t="s">
        <v>76</v>
      </c>
      <c r="O61" s="12" t="s">
        <v>197</v>
      </c>
    </row>
    <row r="62" spans="1:15" x14ac:dyDescent="0.3">
      <c r="A62" s="11" t="s">
        <v>198</v>
      </c>
      <c r="B62" s="4" t="s">
        <v>34</v>
      </c>
      <c r="C62" s="4" t="s">
        <v>35</v>
      </c>
      <c r="D62" s="4" t="s">
        <v>52</v>
      </c>
      <c r="E62" s="4" t="s">
        <v>199</v>
      </c>
      <c r="F62" s="4" t="s">
        <v>73</v>
      </c>
      <c r="G62" s="4" t="s">
        <v>73</v>
      </c>
      <c r="H62" s="4" t="s">
        <v>200</v>
      </c>
      <c r="I62" s="9">
        <v>574727400</v>
      </c>
      <c r="J62" s="9">
        <v>534471822</v>
      </c>
      <c r="K62" s="9">
        <v>40255578</v>
      </c>
      <c r="L62" s="10">
        <v>0.9299570927016878</v>
      </c>
      <c r="M62" s="4" t="s">
        <v>75</v>
      </c>
      <c r="N62" s="4" t="s">
        <v>76</v>
      </c>
      <c r="O62" s="12" t="s">
        <v>197</v>
      </c>
    </row>
    <row r="63" spans="1:15" x14ac:dyDescent="0.3">
      <c r="A63" s="11" t="s">
        <v>201</v>
      </c>
      <c r="B63" s="4" t="s">
        <v>34</v>
      </c>
      <c r="C63" s="4" t="s">
        <v>35</v>
      </c>
      <c r="D63" s="4" t="s">
        <v>51</v>
      </c>
      <c r="E63" s="4" t="s">
        <v>51</v>
      </c>
      <c r="F63" s="4" t="s">
        <v>73</v>
      </c>
      <c r="G63" s="4" t="s">
        <v>73</v>
      </c>
      <c r="H63" s="4" t="s">
        <v>202</v>
      </c>
      <c r="I63" s="9">
        <v>761358000</v>
      </c>
      <c r="J63" s="9">
        <v>642747281</v>
      </c>
      <c r="K63" s="9">
        <v>118610719</v>
      </c>
      <c r="L63" s="10">
        <v>0.84421163368612395</v>
      </c>
      <c r="M63" s="4" t="s">
        <v>75</v>
      </c>
      <c r="N63" s="4" t="s">
        <v>76</v>
      </c>
      <c r="O63" s="12" t="s">
        <v>197</v>
      </c>
    </row>
    <row r="64" spans="1:15" x14ac:dyDescent="0.3">
      <c r="A64" s="11" t="s">
        <v>203</v>
      </c>
      <c r="B64" s="4" t="s">
        <v>34</v>
      </c>
      <c r="C64" s="4" t="s">
        <v>35</v>
      </c>
      <c r="D64" s="4" t="s">
        <v>47</v>
      </c>
      <c r="E64" s="4" t="s">
        <v>47</v>
      </c>
      <c r="F64" s="4" t="s">
        <v>73</v>
      </c>
      <c r="G64" s="4" t="s">
        <v>73</v>
      </c>
      <c r="H64" s="4" t="s">
        <v>204</v>
      </c>
      <c r="I64" s="9">
        <v>282996200</v>
      </c>
      <c r="J64" s="9">
        <v>204487503</v>
      </c>
      <c r="K64" s="9">
        <v>78508697</v>
      </c>
      <c r="L64" s="10">
        <v>0.72258038447159356</v>
      </c>
      <c r="M64" s="4" t="s">
        <v>80</v>
      </c>
      <c r="N64" s="4" t="s">
        <v>76</v>
      </c>
      <c r="O64" s="12" t="s">
        <v>197</v>
      </c>
    </row>
    <row r="65" spans="1:15" x14ac:dyDescent="0.3">
      <c r="A65" s="11" t="s">
        <v>205</v>
      </c>
      <c r="B65" s="4" t="s">
        <v>34</v>
      </c>
      <c r="C65" s="4" t="s">
        <v>35</v>
      </c>
      <c r="D65" s="4" t="s">
        <v>53</v>
      </c>
      <c r="E65" s="4" t="s">
        <v>53</v>
      </c>
      <c r="F65" s="4" t="s">
        <v>73</v>
      </c>
      <c r="G65" s="4" t="s">
        <v>73</v>
      </c>
      <c r="H65" s="4" t="s">
        <v>188</v>
      </c>
      <c r="I65" s="9">
        <v>505363700</v>
      </c>
      <c r="J65" s="9">
        <v>374071489</v>
      </c>
      <c r="K65" s="9">
        <v>131292211</v>
      </c>
      <c r="L65" s="10">
        <v>0.74020252938626185</v>
      </c>
      <c r="M65" s="4" t="s">
        <v>80</v>
      </c>
      <c r="N65" s="4" t="s">
        <v>76</v>
      </c>
      <c r="O65" s="12" t="s">
        <v>197</v>
      </c>
    </row>
    <row r="66" spans="1:15" x14ac:dyDescent="0.3">
      <c r="A66" s="11" t="s">
        <v>206</v>
      </c>
      <c r="B66" s="4" t="s">
        <v>34</v>
      </c>
      <c r="C66" s="4" t="s">
        <v>35</v>
      </c>
      <c r="D66" s="4" t="s">
        <v>46</v>
      </c>
      <c r="E66" s="4" t="s">
        <v>46</v>
      </c>
      <c r="F66" s="4" t="s">
        <v>73</v>
      </c>
      <c r="G66" s="4" t="s">
        <v>73</v>
      </c>
      <c r="H66" s="4" t="s">
        <v>207</v>
      </c>
      <c r="I66" s="9">
        <v>360788000</v>
      </c>
      <c r="J66" s="9">
        <v>590011726</v>
      </c>
      <c r="K66" s="9">
        <v>-229223726</v>
      </c>
      <c r="L66" s="10">
        <v>1.635341879441667</v>
      </c>
      <c r="M66" s="4" t="s">
        <v>95</v>
      </c>
      <c r="N66" s="4" t="s">
        <v>96</v>
      </c>
      <c r="O66" s="12" t="s">
        <v>197</v>
      </c>
    </row>
    <row r="67" spans="1:15" x14ac:dyDescent="0.3">
      <c r="A67" s="11" t="s">
        <v>208</v>
      </c>
      <c r="B67" s="4" t="s">
        <v>34</v>
      </c>
      <c r="C67" s="4" t="s">
        <v>35</v>
      </c>
      <c r="D67" s="4" t="s">
        <v>50</v>
      </c>
      <c r="E67" s="4" t="s">
        <v>50</v>
      </c>
      <c r="F67" s="4" t="s">
        <v>73</v>
      </c>
      <c r="G67" s="4" t="s">
        <v>73</v>
      </c>
      <c r="H67" s="4" t="s">
        <v>209</v>
      </c>
      <c r="I67" s="9">
        <v>919448520</v>
      </c>
      <c r="J67" s="9">
        <v>862652529</v>
      </c>
      <c r="K67" s="9">
        <v>56795991</v>
      </c>
      <c r="L67" s="10">
        <v>0.93822819900781396</v>
      </c>
      <c r="M67" s="4" t="s">
        <v>75</v>
      </c>
      <c r="N67" s="4" t="s">
        <v>76</v>
      </c>
      <c r="O67" s="12" t="s">
        <v>197</v>
      </c>
    </row>
    <row r="68" spans="1:15" x14ac:dyDescent="0.3">
      <c r="A68" s="11" t="s">
        <v>210</v>
      </c>
      <c r="B68" s="4" t="s">
        <v>34</v>
      </c>
      <c r="C68" s="4" t="s">
        <v>35</v>
      </c>
      <c r="D68" s="4" t="s">
        <v>211</v>
      </c>
      <c r="E68" s="4" t="s">
        <v>211</v>
      </c>
      <c r="F68" s="4" t="s">
        <v>73</v>
      </c>
      <c r="G68" s="4" t="s">
        <v>73</v>
      </c>
      <c r="H68" s="4" t="s">
        <v>212</v>
      </c>
      <c r="I68" s="9">
        <v>619447180</v>
      </c>
      <c r="J68" s="9">
        <v>558169912</v>
      </c>
      <c r="K68" s="9">
        <v>61277268</v>
      </c>
      <c r="L68" s="10">
        <v>0.90107749299948381</v>
      </c>
      <c r="M68" s="4" t="s">
        <v>75</v>
      </c>
      <c r="N68" s="4" t="s">
        <v>76</v>
      </c>
      <c r="O68" s="12" t="s">
        <v>197</v>
      </c>
    </row>
    <row r="69" spans="1:15" x14ac:dyDescent="0.3">
      <c r="A69" s="11" t="s">
        <v>213</v>
      </c>
      <c r="B69" s="4" t="s">
        <v>34</v>
      </c>
      <c r="C69" s="4" t="s">
        <v>35</v>
      </c>
      <c r="D69" s="4" t="s">
        <v>58</v>
      </c>
      <c r="E69" s="4" t="s">
        <v>58</v>
      </c>
      <c r="F69" s="4" t="s">
        <v>73</v>
      </c>
      <c r="G69" s="4" t="s">
        <v>73</v>
      </c>
      <c r="H69" s="4" t="s">
        <v>58</v>
      </c>
      <c r="I69" s="9">
        <v>111506950</v>
      </c>
      <c r="J69" s="9">
        <v>69216290</v>
      </c>
      <c r="K69" s="9">
        <v>42290660</v>
      </c>
      <c r="L69" s="10">
        <v>0.62073520977840391</v>
      </c>
      <c r="M69" s="4" t="s">
        <v>80</v>
      </c>
      <c r="N69" s="4" t="s">
        <v>76</v>
      </c>
      <c r="O69" s="12" t="s">
        <v>197</v>
      </c>
    </row>
    <row r="70" spans="1:15" x14ac:dyDescent="0.3">
      <c r="A70" s="11" t="s">
        <v>214</v>
      </c>
      <c r="B70" s="4" t="s">
        <v>34</v>
      </c>
      <c r="C70" s="4" t="s">
        <v>35</v>
      </c>
      <c r="D70" s="4" t="s">
        <v>55</v>
      </c>
      <c r="E70" s="4" t="s">
        <v>55</v>
      </c>
      <c r="F70" s="4" t="s">
        <v>73</v>
      </c>
      <c r="G70" s="4" t="s">
        <v>73</v>
      </c>
      <c r="H70" s="4" t="s">
        <v>55</v>
      </c>
      <c r="I70" s="9">
        <v>251860000</v>
      </c>
      <c r="J70" s="9">
        <v>223704000</v>
      </c>
      <c r="K70" s="9">
        <v>28156000</v>
      </c>
      <c r="L70" s="10">
        <v>0.88820773445564993</v>
      </c>
      <c r="M70" s="4" t="s">
        <v>75</v>
      </c>
      <c r="N70" s="4" t="s">
        <v>76</v>
      </c>
      <c r="O70" s="12" t="s">
        <v>197</v>
      </c>
    </row>
    <row r="71" spans="1:15" x14ac:dyDescent="0.3">
      <c r="A71" s="11" t="s">
        <v>215</v>
      </c>
      <c r="B71" s="4" t="s">
        <v>34</v>
      </c>
      <c r="C71" s="4" t="s">
        <v>35</v>
      </c>
      <c r="D71" s="4" t="s">
        <v>56</v>
      </c>
      <c r="E71" s="4" t="s">
        <v>56</v>
      </c>
      <c r="F71" s="4" t="s">
        <v>73</v>
      </c>
      <c r="G71" s="4" t="s">
        <v>73</v>
      </c>
      <c r="H71" s="4" t="s">
        <v>216</v>
      </c>
      <c r="I71" s="9">
        <v>477178050</v>
      </c>
      <c r="J71" s="9">
        <v>462998899</v>
      </c>
      <c r="K71" s="9">
        <v>14179151</v>
      </c>
      <c r="L71" s="10">
        <v>0.97028540814063013</v>
      </c>
      <c r="M71" s="4" t="s">
        <v>75</v>
      </c>
      <c r="N71" s="4" t="s">
        <v>76</v>
      </c>
      <c r="O71" s="12" t="s">
        <v>197</v>
      </c>
    </row>
    <row r="72" spans="1:15" x14ac:dyDescent="0.3">
      <c r="A72" s="11" t="s">
        <v>217</v>
      </c>
      <c r="B72" s="4" t="s">
        <v>34</v>
      </c>
      <c r="C72" s="4" t="s">
        <v>35</v>
      </c>
      <c r="D72" s="4" t="s">
        <v>49</v>
      </c>
      <c r="E72" s="4" t="s">
        <v>49</v>
      </c>
      <c r="F72" s="4" t="s">
        <v>73</v>
      </c>
      <c r="G72" s="4" t="s">
        <v>73</v>
      </c>
      <c r="H72" s="4" t="s">
        <v>218</v>
      </c>
      <c r="I72" s="9">
        <v>2454994000</v>
      </c>
      <c r="J72" s="9">
        <v>2125343746</v>
      </c>
      <c r="K72" s="9">
        <v>329650254</v>
      </c>
      <c r="L72" s="10">
        <v>0.86572258262138324</v>
      </c>
      <c r="M72" s="4" t="s">
        <v>75</v>
      </c>
      <c r="N72" s="4" t="s">
        <v>76</v>
      </c>
      <c r="O72" s="12" t="s">
        <v>197</v>
      </c>
    </row>
    <row r="73" spans="1:15" x14ac:dyDescent="0.3">
      <c r="A73" s="11" t="s">
        <v>219</v>
      </c>
      <c r="B73" s="4" t="s">
        <v>33</v>
      </c>
      <c r="C73" s="4" t="s">
        <v>35</v>
      </c>
      <c r="D73" s="4" t="s">
        <v>50</v>
      </c>
      <c r="E73" s="4" t="s">
        <v>50</v>
      </c>
      <c r="F73" s="4" t="s">
        <v>220</v>
      </c>
      <c r="G73" s="4" t="s">
        <v>73</v>
      </c>
      <c r="H73" s="4" t="s">
        <v>221</v>
      </c>
      <c r="I73" s="9">
        <v>2655832000</v>
      </c>
      <c r="J73" s="9">
        <v>1686279000</v>
      </c>
      <c r="K73" s="9">
        <v>969553000</v>
      </c>
      <c r="L73" s="10">
        <v>0.63493436331816167</v>
      </c>
      <c r="M73" s="4" t="s">
        <v>80</v>
      </c>
      <c r="N73" s="4" t="s">
        <v>76</v>
      </c>
      <c r="O73" s="12" t="s">
        <v>222</v>
      </c>
    </row>
    <row r="74" spans="1:15" x14ac:dyDescent="0.3">
      <c r="A74" s="11" t="s">
        <v>223</v>
      </c>
      <c r="B74" s="4" t="s">
        <v>33</v>
      </c>
      <c r="C74" s="4" t="s">
        <v>35</v>
      </c>
      <c r="D74" s="4" t="s">
        <v>54</v>
      </c>
      <c r="E74" s="4" t="s">
        <v>54</v>
      </c>
      <c r="F74" s="4" t="s">
        <v>220</v>
      </c>
      <c r="G74" s="4" t="s">
        <v>73</v>
      </c>
      <c r="H74" s="4" t="s">
        <v>54</v>
      </c>
      <c r="I74" s="9">
        <v>472000000</v>
      </c>
      <c r="J74" s="9">
        <v>612880000</v>
      </c>
      <c r="K74" s="9">
        <v>-140880000</v>
      </c>
      <c r="L74" s="10">
        <v>1.298474576271186</v>
      </c>
      <c r="M74" s="4" t="s">
        <v>95</v>
      </c>
      <c r="N74" s="4" t="s">
        <v>96</v>
      </c>
      <c r="O74" s="12" t="s">
        <v>222</v>
      </c>
    </row>
    <row r="75" spans="1:15" x14ac:dyDescent="0.3">
      <c r="A75" s="11" t="s">
        <v>224</v>
      </c>
      <c r="B75" s="4" t="s">
        <v>33</v>
      </c>
      <c r="C75" s="4" t="s">
        <v>35</v>
      </c>
      <c r="D75" s="4" t="s">
        <v>46</v>
      </c>
      <c r="E75" s="4" t="s">
        <v>46</v>
      </c>
      <c r="F75" s="4" t="s">
        <v>220</v>
      </c>
      <c r="G75" s="4" t="s">
        <v>73</v>
      </c>
      <c r="H75" s="4" t="s">
        <v>225</v>
      </c>
      <c r="I75" s="9">
        <v>4909350000</v>
      </c>
      <c r="J75" s="9">
        <v>3094028000</v>
      </c>
      <c r="K75" s="9">
        <v>1815322000</v>
      </c>
      <c r="L75" s="10">
        <v>0.63023170073431312</v>
      </c>
      <c r="M75" s="4" t="s">
        <v>80</v>
      </c>
      <c r="N75" s="4" t="s">
        <v>76</v>
      </c>
      <c r="O75" s="12" t="s">
        <v>222</v>
      </c>
    </row>
    <row r="76" spans="1:15" x14ac:dyDescent="0.3">
      <c r="A76" s="11" t="s">
        <v>226</v>
      </c>
      <c r="B76" s="4" t="s">
        <v>33</v>
      </c>
      <c r="C76" s="4" t="s">
        <v>35</v>
      </c>
      <c r="D76" s="4" t="s">
        <v>53</v>
      </c>
      <c r="E76" s="4" t="s">
        <v>53</v>
      </c>
      <c r="F76" s="4" t="s">
        <v>220</v>
      </c>
      <c r="G76" s="4" t="s">
        <v>73</v>
      </c>
      <c r="H76" s="4" t="s">
        <v>227</v>
      </c>
      <c r="I76" s="9">
        <v>62750000</v>
      </c>
      <c r="J76" s="9">
        <v>43819000</v>
      </c>
      <c r="K76" s="9">
        <v>18931000</v>
      </c>
      <c r="L76" s="10">
        <v>0.69831075697211153</v>
      </c>
      <c r="M76" s="4" t="s">
        <v>80</v>
      </c>
      <c r="N76" s="4" t="s">
        <v>76</v>
      </c>
      <c r="O76" s="12" t="s">
        <v>222</v>
      </c>
    </row>
    <row r="77" spans="1:15" x14ac:dyDescent="0.3">
      <c r="A77" s="11" t="s">
        <v>228</v>
      </c>
      <c r="B77" s="4" t="s">
        <v>33</v>
      </c>
      <c r="C77" s="4" t="s">
        <v>35</v>
      </c>
      <c r="D77" s="4" t="s">
        <v>60</v>
      </c>
      <c r="E77" s="4" t="s">
        <v>60</v>
      </c>
      <c r="F77" s="4" t="s">
        <v>220</v>
      </c>
      <c r="G77" s="4" t="s">
        <v>73</v>
      </c>
      <c r="H77" s="4" t="s">
        <v>60</v>
      </c>
      <c r="I77" s="9">
        <v>300000</v>
      </c>
      <c r="J77" s="9">
        <v>0</v>
      </c>
      <c r="K77" s="9">
        <v>300000</v>
      </c>
      <c r="L77" s="10">
        <v>0</v>
      </c>
      <c r="M77" s="4" t="s">
        <v>92</v>
      </c>
      <c r="N77" s="4" t="s">
        <v>76</v>
      </c>
      <c r="O77" s="12" t="s">
        <v>222</v>
      </c>
    </row>
    <row r="78" spans="1:15" x14ac:dyDescent="0.3">
      <c r="A78" s="11" t="s">
        <v>229</v>
      </c>
      <c r="B78" s="4" t="s">
        <v>33</v>
      </c>
      <c r="C78" s="4" t="s">
        <v>35</v>
      </c>
      <c r="D78" s="4" t="s">
        <v>56</v>
      </c>
      <c r="E78" s="4" t="s">
        <v>56</v>
      </c>
      <c r="F78" s="4" t="s">
        <v>220</v>
      </c>
      <c r="G78" s="4" t="s">
        <v>73</v>
      </c>
      <c r="H78" s="4" t="s">
        <v>56</v>
      </c>
      <c r="I78" s="9">
        <v>940950000</v>
      </c>
      <c r="J78" s="9">
        <v>1253463000</v>
      </c>
      <c r="K78" s="9">
        <v>-312513000</v>
      </c>
      <c r="L78" s="10">
        <v>1.3321249800733299</v>
      </c>
      <c r="M78" s="4" t="s">
        <v>95</v>
      </c>
      <c r="N78" s="4" t="s">
        <v>96</v>
      </c>
      <c r="O78" s="12" t="s">
        <v>222</v>
      </c>
    </row>
    <row r="79" spans="1:15" x14ac:dyDescent="0.3">
      <c r="A79" s="11" t="s">
        <v>230</v>
      </c>
      <c r="B79" s="4" t="s">
        <v>33</v>
      </c>
      <c r="C79" s="4" t="s">
        <v>35</v>
      </c>
      <c r="D79" s="4" t="s">
        <v>48</v>
      </c>
      <c r="E79" s="4" t="s">
        <v>48</v>
      </c>
      <c r="F79" s="4" t="s">
        <v>220</v>
      </c>
      <c r="G79" s="4" t="s">
        <v>73</v>
      </c>
      <c r="H79" s="4" t="s">
        <v>231</v>
      </c>
      <c r="I79" s="9">
        <v>1114100000</v>
      </c>
      <c r="J79" s="9">
        <v>958923000</v>
      </c>
      <c r="K79" s="9">
        <v>155177000</v>
      </c>
      <c r="L79" s="10">
        <v>0.86071537563952971</v>
      </c>
      <c r="M79" s="4" t="s">
        <v>75</v>
      </c>
      <c r="N79" s="4" t="s">
        <v>76</v>
      </c>
      <c r="O79" s="12" t="s">
        <v>222</v>
      </c>
    </row>
    <row r="80" spans="1:15" x14ac:dyDescent="0.3">
      <c r="A80" s="11" t="s">
        <v>232</v>
      </c>
      <c r="B80" s="4" t="s">
        <v>33</v>
      </c>
      <c r="C80" s="4" t="s">
        <v>35</v>
      </c>
      <c r="D80" s="4" t="s">
        <v>51</v>
      </c>
      <c r="E80" s="4" t="s">
        <v>202</v>
      </c>
      <c r="F80" s="4" t="s">
        <v>220</v>
      </c>
      <c r="G80" s="4" t="s">
        <v>73</v>
      </c>
      <c r="H80" s="4" t="s">
        <v>233</v>
      </c>
      <c r="I80" s="9">
        <v>512800000</v>
      </c>
      <c r="J80" s="9">
        <v>354353000</v>
      </c>
      <c r="K80" s="9">
        <v>158447000</v>
      </c>
      <c r="L80" s="10">
        <v>0.6910159906396256</v>
      </c>
      <c r="M80" s="4" t="s">
        <v>80</v>
      </c>
      <c r="N80" s="4" t="s">
        <v>76</v>
      </c>
      <c r="O80" s="12" t="s">
        <v>222</v>
      </c>
    </row>
    <row r="81" spans="1:15" x14ac:dyDescent="0.3">
      <c r="A81" s="11" t="s">
        <v>234</v>
      </c>
      <c r="B81" s="4" t="s">
        <v>33</v>
      </c>
      <c r="C81" s="4" t="s">
        <v>35</v>
      </c>
      <c r="D81" s="4" t="s">
        <v>51</v>
      </c>
      <c r="E81" s="4" t="s">
        <v>235</v>
      </c>
      <c r="F81" s="4" t="s">
        <v>220</v>
      </c>
      <c r="G81" s="4" t="s">
        <v>73</v>
      </c>
      <c r="H81" s="4" t="s">
        <v>236</v>
      </c>
      <c r="I81" s="9">
        <v>30000000</v>
      </c>
      <c r="J81" s="9">
        <v>19173000</v>
      </c>
      <c r="K81" s="9">
        <v>10827000</v>
      </c>
      <c r="L81" s="10">
        <v>0.6391</v>
      </c>
      <c r="M81" s="4" t="s">
        <v>80</v>
      </c>
      <c r="N81" s="4" t="s">
        <v>76</v>
      </c>
      <c r="O81" s="12" t="s">
        <v>222</v>
      </c>
    </row>
    <row r="82" spans="1:15" x14ac:dyDescent="0.3">
      <c r="A82" s="11" t="s">
        <v>237</v>
      </c>
      <c r="B82" s="4" t="s">
        <v>33</v>
      </c>
      <c r="C82" s="4" t="s">
        <v>35</v>
      </c>
      <c r="D82" s="4" t="s">
        <v>55</v>
      </c>
      <c r="E82" s="4" t="s">
        <v>238</v>
      </c>
      <c r="F82" s="4" t="s">
        <v>220</v>
      </c>
      <c r="G82" s="4" t="s">
        <v>73</v>
      </c>
      <c r="H82" s="4" t="s">
        <v>239</v>
      </c>
      <c r="I82" s="9">
        <v>1540250000</v>
      </c>
      <c r="J82" s="9">
        <v>623231000</v>
      </c>
      <c r="K82" s="9">
        <v>917019000</v>
      </c>
      <c r="L82" s="10">
        <v>0.40462976789482219</v>
      </c>
      <c r="M82" s="4" t="s">
        <v>99</v>
      </c>
      <c r="N82" s="4" t="s">
        <v>76</v>
      </c>
      <c r="O82" s="12" t="s">
        <v>222</v>
      </c>
    </row>
    <row r="83" spans="1:15" x14ac:dyDescent="0.3">
      <c r="A83" s="11" t="s">
        <v>240</v>
      </c>
      <c r="B83" s="4" t="s">
        <v>33</v>
      </c>
      <c r="C83" s="4" t="s">
        <v>35</v>
      </c>
      <c r="D83" s="4" t="s">
        <v>49</v>
      </c>
      <c r="E83" s="4" t="s">
        <v>49</v>
      </c>
      <c r="F83" s="4" t="s">
        <v>241</v>
      </c>
      <c r="G83" s="4" t="s">
        <v>73</v>
      </c>
      <c r="H83" s="4" t="s">
        <v>242</v>
      </c>
      <c r="I83" s="9">
        <v>12739332000</v>
      </c>
      <c r="J83" s="9">
        <v>10863305000</v>
      </c>
      <c r="K83" s="9">
        <v>1876027000</v>
      </c>
      <c r="L83" s="10">
        <v>0.85273741197733133</v>
      </c>
      <c r="M83" s="4" t="s">
        <v>75</v>
      </c>
      <c r="N83" s="4" t="s">
        <v>76</v>
      </c>
      <c r="O83" s="12" t="s">
        <v>222</v>
      </c>
    </row>
    <row r="84" spans="1:15" x14ac:dyDescent="0.3">
      <c r="A84" s="11" t="s">
        <v>243</v>
      </c>
      <c r="B84" s="4" t="s">
        <v>33</v>
      </c>
      <c r="C84" s="4" t="s">
        <v>35</v>
      </c>
      <c r="D84" s="4" t="s">
        <v>45</v>
      </c>
      <c r="E84" s="4" t="s">
        <v>244</v>
      </c>
      <c r="F84" s="4" t="s">
        <v>220</v>
      </c>
      <c r="G84" s="4" t="s">
        <v>73</v>
      </c>
      <c r="H84" s="4" t="s">
        <v>245</v>
      </c>
      <c r="I84" s="9">
        <v>25397664000</v>
      </c>
      <c r="J84" s="9">
        <v>19499404000</v>
      </c>
      <c r="K84" s="9">
        <v>5898260000</v>
      </c>
      <c r="L84" s="10">
        <v>0.7677636809432552</v>
      </c>
      <c r="M84" s="4" t="s">
        <v>75</v>
      </c>
      <c r="N84" s="4" t="s">
        <v>76</v>
      </c>
      <c r="O84" s="12" t="s">
        <v>222</v>
      </c>
    </row>
    <row r="85" spans="1:15" x14ac:dyDescent="0.3">
      <c r="A85" s="11" t="s">
        <v>246</v>
      </c>
      <c r="B85" s="4" t="s">
        <v>33</v>
      </c>
      <c r="C85" s="4" t="s">
        <v>36</v>
      </c>
      <c r="D85" s="4" t="s">
        <v>50</v>
      </c>
      <c r="E85" s="4" t="s">
        <v>50</v>
      </c>
      <c r="F85" s="4" t="s">
        <v>220</v>
      </c>
      <c r="G85" s="4" t="s">
        <v>73</v>
      </c>
      <c r="H85" s="4" t="s">
        <v>247</v>
      </c>
      <c r="I85" s="9">
        <v>2660000000</v>
      </c>
      <c r="J85" s="9">
        <v>2530866000</v>
      </c>
      <c r="K85" s="9">
        <v>129134000</v>
      </c>
      <c r="L85" s="10">
        <v>0.95145338345864661</v>
      </c>
      <c r="M85" s="4" t="s">
        <v>75</v>
      </c>
      <c r="N85" s="4" t="s">
        <v>76</v>
      </c>
      <c r="O85" s="12" t="s">
        <v>222</v>
      </c>
    </row>
    <row r="86" spans="1:15" x14ac:dyDescent="0.3">
      <c r="A86" s="11" t="s">
        <v>248</v>
      </c>
      <c r="B86" s="4" t="s">
        <v>33</v>
      </c>
      <c r="C86" s="4" t="s">
        <v>36</v>
      </c>
      <c r="D86" s="4" t="s">
        <v>54</v>
      </c>
      <c r="E86" s="4" t="s">
        <v>54</v>
      </c>
      <c r="F86" s="4" t="s">
        <v>220</v>
      </c>
      <c r="G86" s="4" t="s">
        <v>73</v>
      </c>
      <c r="H86" s="4" t="s">
        <v>54</v>
      </c>
      <c r="I86" s="9">
        <v>793000000</v>
      </c>
      <c r="J86" s="9">
        <v>882236000</v>
      </c>
      <c r="K86" s="9">
        <v>-89236000</v>
      </c>
      <c r="L86" s="10">
        <v>1.1125296343001261</v>
      </c>
      <c r="M86" s="4" t="s">
        <v>95</v>
      </c>
      <c r="N86" s="4" t="s">
        <v>96</v>
      </c>
      <c r="O86" s="12" t="s">
        <v>222</v>
      </c>
    </row>
    <row r="87" spans="1:15" x14ac:dyDescent="0.3">
      <c r="A87" s="11" t="s">
        <v>249</v>
      </c>
      <c r="B87" s="4" t="s">
        <v>33</v>
      </c>
      <c r="C87" s="4" t="s">
        <v>36</v>
      </c>
      <c r="D87" s="4" t="s">
        <v>46</v>
      </c>
      <c r="E87" s="4" t="s">
        <v>46</v>
      </c>
      <c r="F87" s="4" t="s">
        <v>220</v>
      </c>
      <c r="G87" s="4" t="s">
        <v>73</v>
      </c>
      <c r="H87" s="4" t="s">
        <v>225</v>
      </c>
      <c r="I87" s="9">
        <v>5023050000</v>
      </c>
      <c r="J87" s="9">
        <v>5307196000</v>
      </c>
      <c r="K87" s="9">
        <v>-284146000</v>
      </c>
      <c r="L87" s="10">
        <v>1.0565684195857099</v>
      </c>
      <c r="M87" s="4" t="s">
        <v>95</v>
      </c>
      <c r="N87" s="4" t="s">
        <v>96</v>
      </c>
      <c r="O87" s="12" t="s">
        <v>222</v>
      </c>
    </row>
    <row r="88" spans="1:15" x14ac:dyDescent="0.3">
      <c r="A88" s="11" t="s">
        <v>250</v>
      </c>
      <c r="B88" s="4" t="s">
        <v>33</v>
      </c>
      <c r="C88" s="4" t="s">
        <v>36</v>
      </c>
      <c r="D88" s="4" t="s">
        <v>53</v>
      </c>
      <c r="E88" s="4" t="s">
        <v>53</v>
      </c>
      <c r="F88" s="4" t="s">
        <v>220</v>
      </c>
      <c r="G88" s="4" t="s">
        <v>73</v>
      </c>
      <c r="H88" s="4" t="s">
        <v>227</v>
      </c>
      <c r="I88" s="9">
        <v>53150000</v>
      </c>
      <c r="J88" s="9">
        <v>67465000</v>
      </c>
      <c r="K88" s="9">
        <v>-14315000</v>
      </c>
      <c r="L88" s="10">
        <v>1.2693320790216369</v>
      </c>
      <c r="M88" s="4" t="s">
        <v>95</v>
      </c>
      <c r="N88" s="4" t="s">
        <v>96</v>
      </c>
      <c r="O88" s="12" t="s">
        <v>222</v>
      </c>
    </row>
    <row r="89" spans="1:15" x14ac:dyDescent="0.3">
      <c r="A89" s="11" t="s">
        <v>251</v>
      </c>
      <c r="B89" s="4" t="s">
        <v>33</v>
      </c>
      <c r="C89" s="4" t="s">
        <v>36</v>
      </c>
      <c r="D89" s="4" t="s">
        <v>60</v>
      </c>
      <c r="E89" s="4" t="s">
        <v>60</v>
      </c>
      <c r="F89" s="4" t="s">
        <v>220</v>
      </c>
      <c r="G89" s="4" t="s">
        <v>73</v>
      </c>
      <c r="H89" s="4" t="s">
        <v>60</v>
      </c>
      <c r="I89" s="9">
        <v>300000</v>
      </c>
      <c r="J89" s="9">
        <v>0</v>
      </c>
      <c r="K89" s="9">
        <v>300000</v>
      </c>
      <c r="L89" s="10">
        <v>0</v>
      </c>
      <c r="M89" s="4" t="s">
        <v>92</v>
      </c>
      <c r="N89" s="4" t="s">
        <v>76</v>
      </c>
      <c r="O89" s="12" t="s">
        <v>222</v>
      </c>
    </row>
    <row r="90" spans="1:15" x14ac:dyDescent="0.3">
      <c r="A90" s="11" t="s">
        <v>252</v>
      </c>
      <c r="B90" s="4" t="s">
        <v>33</v>
      </c>
      <c r="C90" s="4" t="s">
        <v>36</v>
      </c>
      <c r="D90" s="4" t="s">
        <v>56</v>
      </c>
      <c r="E90" s="4" t="s">
        <v>56</v>
      </c>
      <c r="F90" s="4" t="s">
        <v>220</v>
      </c>
      <c r="G90" s="4" t="s">
        <v>73</v>
      </c>
      <c r="H90" s="4" t="s">
        <v>56</v>
      </c>
      <c r="I90" s="9">
        <v>472100000</v>
      </c>
      <c r="J90" s="9">
        <v>743581000</v>
      </c>
      <c r="K90" s="9">
        <v>-271481000</v>
      </c>
      <c r="L90" s="10">
        <v>1.575049777589494</v>
      </c>
      <c r="M90" s="4" t="s">
        <v>95</v>
      </c>
      <c r="N90" s="4" t="s">
        <v>96</v>
      </c>
      <c r="O90" s="12" t="s">
        <v>222</v>
      </c>
    </row>
    <row r="91" spans="1:15" x14ac:dyDescent="0.3">
      <c r="A91" s="11" t="s">
        <v>253</v>
      </c>
      <c r="B91" s="4" t="s">
        <v>33</v>
      </c>
      <c r="C91" s="4" t="s">
        <v>36</v>
      </c>
      <c r="D91" s="4" t="s">
        <v>48</v>
      </c>
      <c r="E91" s="4" t="s">
        <v>48</v>
      </c>
      <c r="F91" s="4" t="s">
        <v>254</v>
      </c>
      <c r="G91" s="4" t="s">
        <v>73</v>
      </c>
      <c r="H91" s="4" t="s">
        <v>231</v>
      </c>
      <c r="I91" s="9">
        <v>1027300000</v>
      </c>
      <c r="J91" s="9">
        <v>1303604000</v>
      </c>
      <c r="K91" s="9">
        <v>-276304000</v>
      </c>
      <c r="L91" s="10">
        <v>1.2689613550082739</v>
      </c>
      <c r="M91" s="4" t="s">
        <v>95</v>
      </c>
      <c r="N91" s="4" t="s">
        <v>96</v>
      </c>
      <c r="O91" s="12" t="s">
        <v>222</v>
      </c>
    </row>
    <row r="92" spans="1:15" x14ac:dyDescent="0.3">
      <c r="A92" s="11" t="s">
        <v>255</v>
      </c>
      <c r="B92" s="4" t="s">
        <v>33</v>
      </c>
      <c r="C92" s="4" t="s">
        <v>36</v>
      </c>
      <c r="D92" s="4" t="s">
        <v>51</v>
      </c>
      <c r="E92" s="4" t="s">
        <v>202</v>
      </c>
      <c r="F92" s="4" t="s">
        <v>254</v>
      </c>
      <c r="G92" s="4" t="s">
        <v>73</v>
      </c>
      <c r="H92" s="4" t="s">
        <v>233</v>
      </c>
      <c r="I92" s="9">
        <v>455200000</v>
      </c>
      <c r="J92" s="9">
        <v>428678000</v>
      </c>
      <c r="K92" s="9">
        <v>26522000</v>
      </c>
      <c r="L92" s="10">
        <v>0.94173550087873459</v>
      </c>
      <c r="M92" s="4" t="s">
        <v>75</v>
      </c>
      <c r="N92" s="4" t="s">
        <v>76</v>
      </c>
      <c r="O92" s="12" t="s">
        <v>222</v>
      </c>
    </row>
    <row r="93" spans="1:15" x14ac:dyDescent="0.3">
      <c r="A93" s="11" t="s">
        <v>256</v>
      </c>
      <c r="B93" s="4" t="s">
        <v>33</v>
      </c>
      <c r="C93" s="4" t="s">
        <v>36</v>
      </c>
      <c r="D93" s="4" t="s">
        <v>51</v>
      </c>
      <c r="E93" s="4" t="s">
        <v>235</v>
      </c>
      <c r="F93" s="4" t="s">
        <v>254</v>
      </c>
      <c r="G93" s="4" t="s">
        <v>73</v>
      </c>
      <c r="H93" s="4" t="s">
        <v>236</v>
      </c>
      <c r="I93" s="9">
        <v>15000000</v>
      </c>
      <c r="J93" s="9">
        <v>9797000</v>
      </c>
      <c r="K93" s="9">
        <v>5203000</v>
      </c>
      <c r="L93" s="10">
        <v>0.65313333333333334</v>
      </c>
      <c r="M93" s="4" t="s">
        <v>80</v>
      </c>
      <c r="N93" s="4" t="s">
        <v>76</v>
      </c>
      <c r="O93" s="12" t="s">
        <v>222</v>
      </c>
    </row>
    <row r="94" spans="1:15" x14ac:dyDescent="0.3">
      <c r="A94" s="11" t="s">
        <v>257</v>
      </c>
      <c r="B94" s="4" t="s">
        <v>33</v>
      </c>
      <c r="C94" s="4" t="s">
        <v>36</v>
      </c>
      <c r="D94" s="4" t="s">
        <v>211</v>
      </c>
      <c r="E94" s="4" t="s">
        <v>258</v>
      </c>
      <c r="F94" s="4" t="s">
        <v>220</v>
      </c>
      <c r="G94" s="4" t="s">
        <v>73</v>
      </c>
      <c r="H94" s="4" t="s">
        <v>259</v>
      </c>
      <c r="I94" s="9">
        <v>79200000</v>
      </c>
      <c r="J94" s="9">
        <v>29593000</v>
      </c>
      <c r="K94" s="9">
        <v>49607000</v>
      </c>
      <c r="L94" s="10">
        <v>0.37364898989898992</v>
      </c>
      <c r="M94" s="4" t="s">
        <v>99</v>
      </c>
      <c r="N94" s="4" t="s">
        <v>76</v>
      </c>
      <c r="O94" s="12" t="s">
        <v>222</v>
      </c>
    </row>
    <row r="95" spans="1:15" x14ac:dyDescent="0.3">
      <c r="A95" s="11" t="s">
        <v>260</v>
      </c>
      <c r="B95" s="4" t="s">
        <v>33</v>
      </c>
      <c r="C95" s="4" t="s">
        <v>36</v>
      </c>
      <c r="D95" s="4" t="s">
        <v>47</v>
      </c>
      <c r="E95" s="4" t="s">
        <v>47</v>
      </c>
      <c r="F95" s="4" t="s">
        <v>261</v>
      </c>
      <c r="G95" s="4" t="s">
        <v>73</v>
      </c>
      <c r="H95" s="4" t="s">
        <v>262</v>
      </c>
      <c r="I95" s="9">
        <v>7623950000</v>
      </c>
      <c r="J95" s="9">
        <v>5137984000</v>
      </c>
      <c r="K95" s="9">
        <v>2485966000</v>
      </c>
      <c r="L95" s="10">
        <v>0.67392677024377123</v>
      </c>
      <c r="M95" s="4" t="s">
        <v>80</v>
      </c>
      <c r="N95" s="4" t="s">
        <v>76</v>
      </c>
      <c r="O95" s="12" t="s">
        <v>222</v>
      </c>
    </row>
    <row r="96" spans="1:15" x14ac:dyDescent="0.3">
      <c r="A96" s="11" t="s">
        <v>263</v>
      </c>
      <c r="B96" s="4" t="s">
        <v>33</v>
      </c>
      <c r="C96" s="4" t="s">
        <v>36</v>
      </c>
      <c r="D96" s="4" t="s">
        <v>48</v>
      </c>
      <c r="E96" s="4" t="s">
        <v>264</v>
      </c>
      <c r="F96" s="4" t="s">
        <v>254</v>
      </c>
      <c r="G96" s="4" t="s">
        <v>73</v>
      </c>
      <c r="H96" s="4" t="s">
        <v>265</v>
      </c>
      <c r="I96" s="9">
        <v>820700000</v>
      </c>
      <c r="J96" s="9">
        <v>741804000</v>
      </c>
      <c r="K96" s="9">
        <v>78896000</v>
      </c>
      <c r="L96" s="10">
        <v>0.90386743024247596</v>
      </c>
      <c r="M96" s="4" t="s">
        <v>75</v>
      </c>
      <c r="N96" s="4" t="s">
        <v>76</v>
      </c>
      <c r="O96" s="12" t="s">
        <v>222</v>
      </c>
    </row>
    <row r="97" spans="1:15" x14ac:dyDescent="0.3">
      <c r="A97" s="11" t="s">
        <v>266</v>
      </c>
      <c r="B97" s="4" t="s">
        <v>33</v>
      </c>
      <c r="C97" s="4" t="s">
        <v>36</v>
      </c>
      <c r="D97" s="4" t="s">
        <v>51</v>
      </c>
      <c r="E97" s="4" t="s">
        <v>267</v>
      </c>
      <c r="F97" s="4" t="s">
        <v>254</v>
      </c>
      <c r="G97" s="4" t="s">
        <v>73</v>
      </c>
      <c r="H97" s="4" t="s">
        <v>268</v>
      </c>
      <c r="I97" s="9">
        <v>585250000</v>
      </c>
      <c r="J97" s="9">
        <v>455509000</v>
      </c>
      <c r="K97" s="9">
        <v>129741000</v>
      </c>
      <c r="L97" s="10">
        <v>0.77831524989320799</v>
      </c>
      <c r="M97" s="4" t="s">
        <v>75</v>
      </c>
      <c r="N97" s="4" t="s">
        <v>76</v>
      </c>
      <c r="O97" s="12" t="s">
        <v>222</v>
      </c>
    </row>
    <row r="98" spans="1:15" x14ac:dyDescent="0.3">
      <c r="A98" s="11" t="s">
        <v>269</v>
      </c>
      <c r="B98" s="4" t="s">
        <v>33</v>
      </c>
      <c r="C98" s="4" t="s">
        <v>36</v>
      </c>
      <c r="D98" s="4" t="s">
        <v>51</v>
      </c>
      <c r="E98" s="4" t="s">
        <v>270</v>
      </c>
      <c r="F98" s="4" t="s">
        <v>254</v>
      </c>
      <c r="G98" s="4" t="s">
        <v>73</v>
      </c>
      <c r="H98" s="4" t="s">
        <v>271</v>
      </c>
      <c r="I98" s="9">
        <v>80000000</v>
      </c>
      <c r="J98" s="9">
        <v>156693000</v>
      </c>
      <c r="K98" s="9">
        <v>-76693000</v>
      </c>
      <c r="L98" s="10">
        <v>1.9586625</v>
      </c>
      <c r="M98" s="4" t="s">
        <v>95</v>
      </c>
      <c r="N98" s="4" t="s">
        <v>96</v>
      </c>
      <c r="O98" s="12" t="s">
        <v>222</v>
      </c>
    </row>
    <row r="99" spans="1:15" x14ac:dyDescent="0.3">
      <c r="A99" s="11" t="s">
        <v>272</v>
      </c>
      <c r="B99" s="4" t="s">
        <v>33</v>
      </c>
      <c r="C99" s="4" t="s">
        <v>36</v>
      </c>
      <c r="D99" s="4" t="s">
        <v>55</v>
      </c>
      <c r="E99" s="4" t="s">
        <v>238</v>
      </c>
      <c r="F99" s="4" t="s">
        <v>220</v>
      </c>
      <c r="G99" s="4" t="s">
        <v>73</v>
      </c>
      <c r="H99" s="4" t="s">
        <v>273</v>
      </c>
      <c r="I99" s="9">
        <v>392500000</v>
      </c>
      <c r="J99" s="9">
        <v>60090000</v>
      </c>
      <c r="K99" s="9">
        <v>332410000</v>
      </c>
      <c r="L99" s="10">
        <v>0.1530955414012739</v>
      </c>
      <c r="M99" s="4" t="s">
        <v>89</v>
      </c>
      <c r="N99" s="4" t="s">
        <v>76</v>
      </c>
      <c r="O99" s="12" t="s">
        <v>222</v>
      </c>
    </row>
    <row r="100" spans="1:15" x14ac:dyDescent="0.3">
      <c r="A100" s="11" t="s">
        <v>274</v>
      </c>
      <c r="B100" s="4" t="s">
        <v>33</v>
      </c>
      <c r="C100" s="4" t="s">
        <v>37</v>
      </c>
      <c r="D100" s="4" t="s">
        <v>50</v>
      </c>
      <c r="E100" s="4" t="s">
        <v>50</v>
      </c>
      <c r="F100" s="4" t="s">
        <v>220</v>
      </c>
      <c r="G100" s="4" t="s">
        <v>73</v>
      </c>
      <c r="H100" s="4" t="s">
        <v>275</v>
      </c>
      <c r="I100" s="9">
        <v>2126550000</v>
      </c>
      <c r="J100" s="9">
        <v>2918901000</v>
      </c>
      <c r="K100" s="9">
        <v>-792351000</v>
      </c>
      <c r="L100" s="10">
        <v>1.372599280524794</v>
      </c>
      <c r="M100" s="4" t="s">
        <v>95</v>
      </c>
      <c r="N100" s="4" t="s">
        <v>96</v>
      </c>
      <c r="O100" s="12" t="s">
        <v>222</v>
      </c>
    </row>
    <row r="101" spans="1:15" x14ac:dyDescent="0.3">
      <c r="A101" s="11" t="s">
        <v>276</v>
      </c>
      <c r="B101" s="4" t="s">
        <v>33</v>
      </c>
      <c r="C101" s="4" t="s">
        <v>37</v>
      </c>
      <c r="D101" s="4" t="s">
        <v>54</v>
      </c>
      <c r="E101" s="4" t="s">
        <v>54</v>
      </c>
      <c r="F101" s="4" t="s">
        <v>220</v>
      </c>
      <c r="G101" s="4" t="s">
        <v>73</v>
      </c>
      <c r="H101" s="4" t="s">
        <v>54</v>
      </c>
      <c r="I101" s="9">
        <v>1091500000</v>
      </c>
      <c r="J101" s="9">
        <v>998284000</v>
      </c>
      <c r="K101" s="9">
        <v>93216000</v>
      </c>
      <c r="L101" s="10">
        <v>0.9145982592762254</v>
      </c>
      <c r="M101" s="4" t="s">
        <v>75</v>
      </c>
      <c r="N101" s="4" t="s">
        <v>76</v>
      </c>
      <c r="O101" s="12" t="s">
        <v>222</v>
      </c>
    </row>
    <row r="102" spans="1:15" x14ac:dyDescent="0.3">
      <c r="A102" s="11" t="s">
        <v>277</v>
      </c>
      <c r="B102" s="4" t="s">
        <v>33</v>
      </c>
      <c r="C102" s="4" t="s">
        <v>37</v>
      </c>
      <c r="D102" s="4" t="s">
        <v>46</v>
      </c>
      <c r="E102" s="4" t="s">
        <v>225</v>
      </c>
      <c r="F102" s="4" t="s">
        <v>220</v>
      </c>
      <c r="G102" s="4" t="s">
        <v>73</v>
      </c>
      <c r="H102" s="4" t="s">
        <v>225</v>
      </c>
      <c r="I102" s="9">
        <v>6594750000</v>
      </c>
      <c r="J102" s="9">
        <v>6793826000</v>
      </c>
      <c r="K102" s="9">
        <v>-199076000</v>
      </c>
      <c r="L102" s="10">
        <v>1.0301870427233779</v>
      </c>
      <c r="M102" s="4" t="s">
        <v>95</v>
      </c>
      <c r="N102" s="4" t="s">
        <v>96</v>
      </c>
      <c r="O102" s="12" t="s">
        <v>222</v>
      </c>
    </row>
    <row r="103" spans="1:15" x14ac:dyDescent="0.3">
      <c r="A103" s="11" t="s">
        <v>278</v>
      </c>
      <c r="B103" s="4" t="s">
        <v>33</v>
      </c>
      <c r="C103" s="4" t="s">
        <v>37</v>
      </c>
      <c r="D103" s="4" t="s">
        <v>53</v>
      </c>
      <c r="E103" s="4" t="s">
        <v>227</v>
      </c>
      <c r="F103" s="4" t="s">
        <v>188</v>
      </c>
      <c r="G103" s="4" t="s">
        <v>73</v>
      </c>
      <c r="H103" s="4" t="s">
        <v>227</v>
      </c>
      <c r="I103" s="9">
        <v>83950000</v>
      </c>
      <c r="J103" s="9">
        <v>66062000</v>
      </c>
      <c r="K103" s="9">
        <v>17888000</v>
      </c>
      <c r="L103" s="10">
        <v>0.78692078618225136</v>
      </c>
      <c r="M103" s="4" t="s">
        <v>75</v>
      </c>
      <c r="N103" s="4" t="s">
        <v>76</v>
      </c>
      <c r="O103" s="12" t="s">
        <v>222</v>
      </c>
    </row>
    <row r="104" spans="1:15" x14ac:dyDescent="0.3">
      <c r="A104" s="11" t="s">
        <v>279</v>
      </c>
      <c r="B104" s="4" t="s">
        <v>33</v>
      </c>
      <c r="C104" s="4" t="s">
        <v>37</v>
      </c>
      <c r="D104" s="4" t="s">
        <v>58</v>
      </c>
      <c r="E104" s="4" t="s">
        <v>280</v>
      </c>
      <c r="F104" s="4" t="s">
        <v>281</v>
      </c>
      <c r="G104" s="4" t="s">
        <v>73</v>
      </c>
      <c r="H104" s="4" t="s">
        <v>280</v>
      </c>
      <c r="I104" s="9">
        <v>300000</v>
      </c>
      <c r="J104" s="9">
        <v>300000</v>
      </c>
      <c r="K104" s="9">
        <v>0</v>
      </c>
      <c r="L104" s="10">
        <v>1</v>
      </c>
      <c r="M104" s="4" t="s">
        <v>75</v>
      </c>
      <c r="N104" s="4" t="s">
        <v>76</v>
      </c>
      <c r="O104" s="12" t="s">
        <v>222</v>
      </c>
    </row>
    <row r="105" spans="1:15" x14ac:dyDescent="0.3">
      <c r="A105" s="11" t="s">
        <v>282</v>
      </c>
      <c r="B105" s="4" t="s">
        <v>33</v>
      </c>
      <c r="C105" s="4" t="s">
        <v>37</v>
      </c>
      <c r="D105" s="4" t="s">
        <v>56</v>
      </c>
      <c r="E105" s="4" t="s">
        <v>56</v>
      </c>
      <c r="F105" s="4" t="s">
        <v>220</v>
      </c>
      <c r="G105" s="4" t="s">
        <v>73</v>
      </c>
      <c r="H105" s="4" t="s">
        <v>56</v>
      </c>
      <c r="I105" s="9">
        <v>1063150000</v>
      </c>
      <c r="J105" s="9">
        <v>1315620000</v>
      </c>
      <c r="K105" s="9">
        <v>-252470000</v>
      </c>
      <c r="L105" s="10">
        <v>1.237473545595636</v>
      </c>
      <c r="M105" s="4" t="s">
        <v>95</v>
      </c>
      <c r="N105" s="4" t="s">
        <v>96</v>
      </c>
      <c r="O105" s="12" t="s">
        <v>222</v>
      </c>
    </row>
    <row r="106" spans="1:15" x14ac:dyDescent="0.3">
      <c r="A106" s="11" t="s">
        <v>283</v>
      </c>
      <c r="B106" s="4" t="s">
        <v>33</v>
      </c>
      <c r="C106" s="4" t="s">
        <v>37</v>
      </c>
      <c r="D106" s="4" t="s">
        <v>48</v>
      </c>
      <c r="E106" s="4" t="s">
        <v>48</v>
      </c>
      <c r="F106" s="4" t="s">
        <v>254</v>
      </c>
      <c r="G106" s="4" t="s">
        <v>73</v>
      </c>
      <c r="H106" s="4" t="s">
        <v>231</v>
      </c>
      <c r="I106" s="9">
        <v>1331700000</v>
      </c>
      <c r="J106" s="9">
        <v>1379421000</v>
      </c>
      <c r="K106" s="9">
        <v>-47721000</v>
      </c>
      <c r="L106" s="10">
        <v>1.0358346474431179</v>
      </c>
      <c r="M106" s="4" t="s">
        <v>95</v>
      </c>
      <c r="N106" s="4" t="s">
        <v>96</v>
      </c>
      <c r="O106" s="12" t="s">
        <v>222</v>
      </c>
    </row>
    <row r="107" spans="1:15" x14ac:dyDescent="0.3">
      <c r="A107" s="11" t="s">
        <v>284</v>
      </c>
      <c r="B107" s="4" t="s">
        <v>33</v>
      </c>
      <c r="C107" s="4" t="s">
        <v>37</v>
      </c>
      <c r="D107" s="4" t="s">
        <v>51</v>
      </c>
      <c r="E107" s="4" t="s">
        <v>202</v>
      </c>
      <c r="F107" s="4" t="s">
        <v>254</v>
      </c>
      <c r="G107" s="4" t="s">
        <v>73</v>
      </c>
      <c r="H107" s="4" t="s">
        <v>233</v>
      </c>
      <c r="I107" s="9">
        <v>579300000</v>
      </c>
      <c r="J107" s="9">
        <v>497143000</v>
      </c>
      <c r="K107" s="9">
        <v>82157000</v>
      </c>
      <c r="L107" s="10">
        <v>0.85817883652684279</v>
      </c>
      <c r="M107" s="4" t="s">
        <v>75</v>
      </c>
      <c r="N107" s="4" t="s">
        <v>76</v>
      </c>
      <c r="O107" s="12" t="s">
        <v>222</v>
      </c>
    </row>
    <row r="108" spans="1:15" x14ac:dyDescent="0.3">
      <c r="A108" s="11" t="s">
        <v>285</v>
      </c>
      <c r="B108" s="4" t="s">
        <v>33</v>
      </c>
      <c r="C108" s="4" t="s">
        <v>37</v>
      </c>
      <c r="D108" s="4" t="s">
        <v>51</v>
      </c>
      <c r="E108" s="4" t="s">
        <v>235</v>
      </c>
      <c r="F108" s="4" t="s">
        <v>254</v>
      </c>
      <c r="G108" s="4" t="s">
        <v>73</v>
      </c>
      <c r="H108" s="4" t="s">
        <v>236</v>
      </c>
      <c r="I108" s="9">
        <v>20000000</v>
      </c>
      <c r="J108" s="9">
        <v>19542000</v>
      </c>
      <c r="K108" s="9">
        <v>458000</v>
      </c>
      <c r="L108" s="10">
        <v>0.97709999999999997</v>
      </c>
      <c r="M108" s="4" t="s">
        <v>75</v>
      </c>
      <c r="N108" s="4" t="s">
        <v>76</v>
      </c>
      <c r="O108" s="12" t="s">
        <v>222</v>
      </c>
    </row>
    <row r="109" spans="1:15" x14ac:dyDescent="0.3">
      <c r="A109" s="11" t="s">
        <v>286</v>
      </c>
      <c r="B109" s="4" t="s">
        <v>33</v>
      </c>
      <c r="C109" s="4" t="s">
        <v>37</v>
      </c>
      <c r="D109" s="4" t="s">
        <v>55</v>
      </c>
      <c r="E109" s="4" t="s">
        <v>287</v>
      </c>
      <c r="F109" s="4" t="s">
        <v>220</v>
      </c>
      <c r="G109" s="4" t="s">
        <v>73</v>
      </c>
      <c r="H109" s="4" t="s">
        <v>239</v>
      </c>
      <c r="I109" s="9">
        <v>1162800000</v>
      </c>
      <c r="J109" s="9">
        <v>1131411000</v>
      </c>
      <c r="K109" s="9">
        <v>31389000</v>
      </c>
      <c r="L109" s="10">
        <v>0.97300567595459231</v>
      </c>
      <c r="M109" s="4" t="s">
        <v>75</v>
      </c>
      <c r="N109" s="4" t="s">
        <v>76</v>
      </c>
      <c r="O109" s="12" t="s">
        <v>222</v>
      </c>
    </row>
    <row r="110" spans="1:15" x14ac:dyDescent="0.3">
      <c r="A110" s="11" t="s">
        <v>288</v>
      </c>
      <c r="B110" s="4" t="s">
        <v>33</v>
      </c>
      <c r="C110" s="4" t="s">
        <v>37</v>
      </c>
      <c r="D110" s="4" t="s">
        <v>211</v>
      </c>
      <c r="E110" s="4" t="s">
        <v>289</v>
      </c>
      <c r="F110" s="4" t="s">
        <v>290</v>
      </c>
      <c r="G110" s="4" t="s">
        <v>73</v>
      </c>
      <c r="H110" s="4" t="s">
        <v>291</v>
      </c>
      <c r="I110" s="9">
        <v>105000000</v>
      </c>
      <c r="J110" s="9">
        <v>48266000</v>
      </c>
      <c r="K110" s="9">
        <v>56734000</v>
      </c>
      <c r="L110" s="10">
        <v>0.45967619047619052</v>
      </c>
      <c r="M110" s="4" t="s">
        <v>99</v>
      </c>
      <c r="N110" s="4" t="s">
        <v>76</v>
      </c>
      <c r="O110" s="12" t="s">
        <v>222</v>
      </c>
    </row>
    <row r="111" spans="1:15" x14ac:dyDescent="0.3">
      <c r="A111" s="11" t="s">
        <v>292</v>
      </c>
      <c r="B111" s="4" t="s">
        <v>33</v>
      </c>
      <c r="C111" s="4" t="s">
        <v>37</v>
      </c>
      <c r="D111" s="4" t="s">
        <v>47</v>
      </c>
      <c r="E111" s="4" t="s">
        <v>293</v>
      </c>
      <c r="F111" s="4" t="s">
        <v>261</v>
      </c>
      <c r="G111" s="4" t="s">
        <v>73</v>
      </c>
      <c r="H111" s="4" t="s">
        <v>262</v>
      </c>
      <c r="I111" s="9">
        <v>5566700000</v>
      </c>
      <c r="J111" s="9">
        <v>5137984000</v>
      </c>
      <c r="K111" s="9">
        <v>428716000</v>
      </c>
      <c r="L111" s="10">
        <v>0.92298561086460562</v>
      </c>
      <c r="M111" s="4" t="s">
        <v>75</v>
      </c>
      <c r="N111" s="4" t="s">
        <v>76</v>
      </c>
      <c r="O111" s="12" t="s">
        <v>222</v>
      </c>
    </row>
    <row r="112" spans="1:15" x14ac:dyDescent="0.3">
      <c r="A112" s="11" t="s">
        <v>294</v>
      </c>
      <c r="B112" s="4" t="s">
        <v>33</v>
      </c>
      <c r="C112" s="4" t="s">
        <v>37</v>
      </c>
      <c r="D112" s="4" t="s">
        <v>48</v>
      </c>
      <c r="E112" s="4" t="s">
        <v>295</v>
      </c>
      <c r="F112" s="4" t="s">
        <v>254</v>
      </c>
      <c r="G112" s="4" t="s">
        <v>73</v>
      </c>
      <c r="H112" s="4" t="s">
        <v>265</v>
      </c>
      <c r="I112" s="9">
        <v>658350000</v>
      </c>
      <c r="J112" s="9">
        <v>579151000</v>
      </c>
      <c r="K112" s="9">
        <v>79199000</v>
      </c>
      <c r="L112" s="10">
        <v>0.87970076706918809</v>
      </c>
      <c r="M112" s="4" t="s">
        <v>75</v>
      </c>
      <c r="N112" s="4" t="s">
        <v>76</v>
      </c>
      <c r="O112" s="12" t="s">
        <v>222</v>
      </c>
    </row>
    <row r="113" spans="1:15" x14ac:dyDescent="0.3">
      <c r="A113" s="11" t="s">
        <v>296</v>
      </c>
      <c r="B113" s="4" t="s">
        <v>33</v>
      </c>
      <c r="C113" s="4" t="s">
        <v>37</v>
      </c>
      <c r="D113" s="4" t="s">
        <v>51</v>
      </c>
      <c r="E113" s="4" t="s">
        <v>297</v>
      </c>
      <c r="F113" s="4" t="s">
        <v>254</v>
      </c>
      <c r="G113" s="4" t="s">
        <v>73</v>
      </c>
      <c r="H113" s="4" t="s">
        <v>268</v>
      </c>
      <c r="I113" s="9">
        <v>409500000</v>
      </c>
      <c r="J113" s="9">
        <v>67718000</v>
      </c>
      <c r="K113" s="9">
        <v>341782000</v>
      </c>
      <c r="L113" s="10">
        <v>0.16536752136752139</v>
      </c>
      <c r="M113" s="4" t="s">
        <v>89</v>
      </c>
      <c r="N113" s="4" t="s">
        <v>76</v>
      </c>
      <c r="O113" s="12" t="s">
        <v>222</v>
      </c>
    </row>
    <row r="114" spans="1:15" x14ac:dyDescent="0.3">
      <c r="A114" s="11" t="s">
        <v>298</v>
      </c>
      <c r="B114" s="4" t="s">
        <v>33</v>
      </c>
      <c r="C114" s="4" t="s">
        <v>37</v>
      </c>
      <c r="D114" s="4" t="s">
        <v>59</v>
      </c>
      <c r="E114" s="4" t="s">
        <v>59</v>
      </c>
      <c r="F114" s="4" t="s">
        <v>254</v>
      </c>
      <c r="G114" s="4" t="s">
        <v>73</v>
      </c>
      <c r="H114" s="4" t="s">
        <v>271</v>
      </c>
      <c r="I114" s="9">
        <v>80000000</v>
      </c>
      <c r="J114" s="9">
        <v>103585000</v>
      </c>
      <c r="K114" s="9">
        <v>-23585000</v>
      </c>
      <c r="L114" s="10">
        <v>1.2948124999999999</v>
      </c>
      <c r="M114" s="4" t="s">
        <v>95</v>
      </c>
      <c r="N114" s="4" t="s">
        <v>96</v>
      </c>
      <c r="O114" s="12" t="s">
        <v>222</v>
      </c>
    </row>
    <row r="115" spans="1:15" x14ac:dyDescent="0.3">
      <c r="A115" s="11" t="s">
        <v>299</v>
      </c>
      <c r="B115" s="4" t="s">
        <v>33</v>
      </c>
      <c r="C115" s="4" t="s">
        <v>37</v>
      </c>
      <c r="D115" s="4" t="s">
        <v>55</v>
      </c>
      <c r="E115" s="4" t="s">
        <v>300</v>
      </c>
      <c r="F115" s="4" t="s">
        <v>220</v>
      </c>
      <c r="G115" s="4" t="s">
        <v>73</v>
      </c>
      <c r="H115" s="4" t="s">
        <v>273</v>
      </c>
      <c r="I115" s="9">
        <v>150700000</v>
      </c>
      <c r="J115" s="9">
        <v>22971000</v>
      </c>
      <c r="K115" s="9">
        <v>127729000</v>
      </c>
      <c r="L115" s="10">
        <v>0.15242866622428669</v>
      </c>
      <c r="M115" s="4" t="s">
        <v>89</v>
      </c>
      <c r="N115" s="4" t="s">
        <v>76</v>
      </c>
      <c r="O115" s="12" t="s">
        <v>222</v>
      </c>
    </row>
    <row r="116" spans="1:15" x14ac:dyDescent="0.3">
      <c r="A116" s="11" t="s">
        <v>301</v>
      </c>
      <c r="B116" s="4" t="s">
        <v>33</v>
      </c>
      <c r="C116" s="4" t="s">
        <v>37</v>
      </c>
      <c r="D116" s="4" t="s">
        <v>45</v>
      </c>
      <c r="E116" s="4" t="s">
        <v>244</v>
      </c>
      <c r="F116" s="4" t="s">
        <v>220</v>
      </c>
      <c r="G116" s="4" t="s">
        <v>73</v>
      </c>
      <c r="H116" s="4" t="s">
        <v>302</v>
      </c>
      <c r="I116" s="9">
        <v>21024250000</v>
      </c>
      <c r="J116" s="9">
        <v>19442027000</v>
      </c>
      <c r="K116" s="9">
        <v>1582223000</v>
      </c>
      <c r="L116" s="10">
        <v>0.92474295159161446</v>
      </c>
      <c r="M116" s="4" t="s">
        <v>75</v>
      </c>
      <c r="N116" s="4" t="s">
        <v>76</v>
      </c>
      <c r="O116" s="12" t="s">
        <v>222</v>
      </c>
    </row>
    <row r="117" spans="1:15" x14ac:dyDescent="0.3">
      <c r="A117" s="11" t="s">
        <v>303</v>
      </c>
      <c r="B117" s="4" t="s">
        <v>33</v>
      </c>
      <c r="C117" s="4" t="s">
        <v>39</v>
      </c>
      <c r="D117" s="4" t="s">
        <v>50</v>
      </c>
      <c r="E117" s="4" t="s">
        <v>50</v>
      </c>
      <c r="F117" s="4" t="s">
        <v>220</v>
      </c>
      <c r="G117" s="4" t="s">
        <v>73</v>
      </c>
      <c r="H117" s="4" t="s">
        <v>247</v>
      </c>
      <c r="I117" s="9">
        <v>4367390000</v>
      </c>
      <c r="J117" s="9">
        <v>3282145635</v>
      </c>
      <c r="K117" s="9">
        <v>1085244365</v>
      </c>
      <c r="L117" s="10">
        <v>0.7515119178731462</v>
      </c>
      <c r="M117" s="4" t="s">
        <v>75</v>
      </c>
      <c r="N117" s="4" t="s">
        <v>76</v>
      </c>
      <c r="O117" s="12" t="s">
        <v>222</v>
      </c>
    </row>
    <row r="118" spans="1:15" x14ac:dyDescent="0.3">
      <c r="A118" s="11" t="s">
        <v>304</v>
      </c>
      <c r="B118" s="4" t="s">
        <v>33</v>
      </c>
      <c r="C118" s="4" t="s">
        <v>39</v>
      </c>
      <c r="D118" s="4" t="s">
        <v>54</v>
      </c>
      <c r="E118" s="4" t="s">
        <v>54</v>
      </c>
      <c r="F118" s="4" t="s">
        <v>220</v>
      </c>
      <c r="G118" s="4" t="s">
        <v>73</v>
      </c>
      <c r="H118" s="4" t="s">
        <v>54</v>
      </c>
      <c r="I118" s="9">
        <v>1463900000</v>
      </c>
      <c r="J118" s="9">
        <v>586576798</v>
      </c>
      <c r="K118" s="9">
        <v>877323202</v>
      </c>
      <c r="L118" s="10">
        <v>0.40069458159710358</v>
      </c>
      <c r="M118" s="4" t="s">
        <v>99</v>
      </c>
      <c r="N118" s="4" t="s">
        <v>76</v>
      </c>
      <c r="O118" s="12" t="s">
        <v>222</v>
      </c>
    </row>
    <row r="119" spans="1:15" x14ac:dyDescent="0.3">
      <c r="A119" s="11" t="s">
        <v>305</v>
      </c>
      <c r="B119" s="4" t="s">
        <v>33</v>
      </c>
      <c r="C119" s="4" t="s">
        <v>39</v>
      </c>
      <c r="D119" s="4" t="s">
        <v>46</v>
      </c>
      <c r="E119" s="4" t="s">
        <v>306</v>
      </c>
      <c r="F119" s="4" t="s">
        <v>220</v>
      </c>
      <c r="G119" s="4" t="s">
        <v>73</v>
      </c>
      <c r="H119" s="4" t="s">
        <v>306</v>
      </c>
      <c r="I119" s="9">
        <v>8574510000</v>
      </c>
      <c r="J119" s="9">
        <v>234186412</v>
      </c>
      <c r="K119" s="9">
        <v>8340323588</v>
      </c>
      <c r="L119" s="10">
        <v>2.7311929428037288E-2</v>
      </c>
      <c r="M119" s="4" t="s">
        <v>89</v>
      </c>
      <c r="N119" s="4" t="s">
        <v>76</v>
      </c>
      <c r="O119" s="12" t="s">
        <v>222</v>
      </c>
    </row>
    <row r="120" spans="1:15" x14ac:dyDescent="0.3">
      <c r="A120" s="11" t="s">
        <v>307</v>
      </c>
      <c r="B120" s="4" t="s">
        <v>33</v>
      </c>
      <c r="C120" s="4" t="s">
        <v>39</v>
      </c>
      <c r="D120" s="4" t="s">
        <v>53</v>
      </c>
      <c r="E120" s="4" t="s">
        <v>227</v>
      </c>
      <c r="F120" s="4" t="s">
        <v>188</v>
      </c>
      <c r="G120" s="4" t="s">
        <v>73</v>
      </c>
      <c r="H120" s="4" t="s">
        <v>227</v>
      </c>
      <c r="I120" s="9">
        <v>858500000</v>
      </c>
      <c r="J120" s="9">
        <v>65456345</v>
      </c>
      <c r="K120" s="9">
        <v>793043655</v>
      </c>
      <c r="L120" s="10">
        <v>7.6245014560279559E-2</v>
      </c>
      <c r="M120" s="4" t="s">
        <v>89</v>
      </c>
      <c r="N120" s="4" t="s">
        <v>76</v>
      </c>
      <c r="O120" s="12" t="s">
        <v>222</v>
      </c>
    </row>
    <row r="121" spans="1:15" x14ac:dyDescent="0.3">
      <c r="A121" s="11" t="s">
        <v>308</v>
      </c>
      <c r="B121" s="4" t="s">
        <v>33</v>
      </c>
      <c r="C121" s="4" t="s">
        <v>39</v>
      </c>
      <c r="D121" s="4" t="s">
        <v>60</v>
      </c>
      <c r="E121" s="4" t="s">
        <v>60</v>
      </c>
      <c r="F121" s="4" t="s">
        <v>220</v>
      </c>
      <c r="G121" s="4" t="s">
        <v>73</v>
      </c>
      <c r="H121" s="4" t="s">
        <v>60</v>
      </c>
      <c r="I121" s="9">
        <v>10000000</v>
      </c>
      <c r="J121" s="9">
        <v>204279022</v>
      </c>
      <c r="K121" s="9">
        <v>-194279022</v>
      </c>
      <c r="L121" s="10">
        <v>20.427902199999998</v>
      </c>
      <c r="M121" s="4" t="s">
        <v>95</v>
      </c>
      <c r="N121" s="4" t="s">
        <v>96</v>
      </c>
      <c r="O121" s="12" t="s">
        <v>222</v>
      </c>
    </row>
    <row r="122" spans="1:15" x14ac:dyDescent="0.3">
      <c r="A122" s="11" t="s">
        <v>309</v>
      </c>
      <c r="B122" s="4" t="s">
        <v>33</v>
      </c>
      <c r="C122" s="4" t="s">
        <v>39</v>
      </c>
      <c r="D122" s="4" t="s">
        <v>56</v>
      </c>
      <c r="E122" s="4" t="s">
        <v>56</v>
      </c>
      <c r="F122" s="4" t="s">
        <v>220</v>
      </c>
      <c r="G122" s="4" t="s">
        <v>73</v>
      </c>
      <c r="H122" s="4" t="s">
        <v>56</v>
      </c>
      <c r="I122" s="9">
        <v>357500000</v>
      </c>
      <c r="J122" s="9">
        <v>1572000000</v>
      </c>
      <c r="K122" s="9">
        <v>-1214500000</v>
      </c>
      <c r="L122" s="10">
        <v>4.3972027972027972</v>
      </c>
      <c r="M122" s="4" t="s">
        <v>95</v>
      </c>
      <c r="N122" s="4" t="s">
        <v>96</v>
      </c>
      <c r="O122" s="12" t="s">
        <v>222</v>
      </c>
    </row>
    <row r="123" spans="1:15" x14ac:dyDescent="0.3">
      <c r="A123" s="11" t="s">
        <v>310</v>
      </c>
      <c r="B123" s="4" t="s">
        <v>33</v>
      </c>
      <c r="C123" s="4" t="s">
        <v>39</v>
      </c>
      <c r="D123" s="4" t="s">
        <v>48</v>
      </c>
      <c r="E123" s="4" t="s">
        <v>48</v>
      </c>
      <c r="F123" s="4" t="s">
        <v>254</v>
      </c>
      <c r="G123" s="4" t="s">
        <v>73</v>
      </c>
      <c r="H123" s="4" t="s">
        <v>311</v>
      </c>
      <c r="I123" s="9">
        <v>1671950000</v>
      </c>
      <c r="J123" s="9">
        <v>1570659236</v>
      </c>
      <c r="K123" s="9">
        <v>101290764</v>
      </c>
      <c r="L123" s="10">
        <v>0.93941758784652651</v>
      </c>
      <c r="M123" s="4" t="s">
        <v>75</v>
      </c>
      <c r="N123" s="4" t="s">
        <v>76</v>
      </c>
      <c r="O123" s="12" t="s">
        <v>222</v>
      </c>
    </row>
    <row r="124" spans="1:15" x14ac:dyDescent="0.3">
      <c r="A124" s="11" t="s">
        <v>312</v>
      </c>
      <c r="B124" s="4" t="s">
        <v>33</v>
      </c>
      <c r="C124" s="4" t="s">
        <v>39</v>
      </c>
      <c r="D124" s="4" t="s">
        <v>51</v>
      </c>
      <c r="E124" s="4" t="s">
        <v>202</v>
      </c>
      <c r="F124" s="4" t="s">
        <v>254</v>
      </c>
      <c r="G124" s="4" t="s">
        <v>73</v>
      </c>
      <c r="H124" s="4" t="s">
        <v>233</v>
      </c>
      <c r="I124" s="9">
        <v>814800000</v>
      </c>
      <c r="J124" s="9">
        <v>204279022</v>
      </c>
      <c r="K124" s="9">
        <v>610520978</v>
      </c>
      <c r="L124" s="10">
        <v>0.25071063082965139</v>
      </c>
      <c r="M124" s="4" t="s">
        <v>99</v>
      </c>
      <c r="N124" s="4" t="s">
        <v>76</v>
      </c>
      <c r="O124" s="12" t="s">
        <v>222</v>
      </c>
    </row>
    <row r="125" spans="1:15" x14ac:dyDescent="0.3">
      <c r="A125" s="11" t="s">
        <v>313</v>
      </c>
      <c r="B125" s="4" t="s">
        <v>33</v>
      </c>
      <c r="C125" s="4" t="s">
        <v>39</v>
      </c>
      <c r="D125" s="4" t="s">
        <v>51</v>
      </c>
      <c r="E125" s="4" t="s">
        <v>235</v>
      </c>
      <c r="F125" s="4" t="s">
        <v>254</v>
      </c>
      <c r="G125" s="4" t="s">
        <v>73</v>
      </c>
      <c r="H125" s="4" t="s">
        <v>236</v>
      </c>
      <c r="I125" s="9">
        <v>246000000</v>
      </c>
      <c r="J125" s="9">
        <v>157065923</v>
      </c>
      <c r="K125" s="9">
        <v>88934077</v>
      </c>
      <c r="L125" s="10">
        <v>0.63847936178861786</v>
      </c>
      <c r="M125" s="4" t="s">
        <v>80</v>
      </c>
      <c r="N125" s="4" t="s">
        <v>76</v>
      </c>
      <c r="O125" s="12" t="s">
        <v>222</v>
      </c>
    </row>
    <row r="126" spans="1:15" ht="43.2" x14ac:dyDescent="0.3">
      <c r="A126" s="11" t="s">
        <v>314</v>
      </c>
      <c r="B126" s="4" t="s">
        <v>33</v>
      </c>
      <c r="C126" s="4" t="s">
        <v>39</v>
      </c>
      <c r="D126" s="4" t="s">
        <v>211</v>
      </c>
      <c r="E126" s="4" t="s">
        <v>289</v>
      </c>
      <c r="F126" s="4" t="s">
        <v>290</v>
      </c>
      <c r="G126" s="4" t="s">
        <v>73</v>
      </c>
      <c r="H126" s="4" t="s">
        <v>315</v>
      </c>
      <c r="I126" s="9">
        <v>1385500000</v>
      </c>
      <c r="J126" s="9"/>
      <c r="K126" s="9"/>
      <c r="L126" s="10"/>
      <c r="M126" s="4" t="s">
        <v>316</v>
      </c>
      <c r="N126" s="4" t="s">
        <v>317</v>
      </c>
      <c r="O126" s="12" t="s">
        <v>222</v>
      </c>
    </row>
    <row r="127" spans="1:15" ht="43.2" x14ac:dyDescent="0.3">
      <c r="A127" s="11" t="s">
        <v>318</v>
      </c>
      <c r="B127" s="4" t="s">
        <v>33</v>
      </c>
      <c r="C127" s="4" t="s">
        <v>39</v>
      </c>
      <c r="D127" s="4" t="s">
        <v>47</v>
      </c>
      <c r="E127" s="4" t="s">
        <v>319</v>
      </c>
      <c r="F127" s="4" t="s">
        <v>261</v>
      </c>
      <c r="G127" s="4" t="s">
        <v>73</v>
      </c>
      <c r="H127" s="4" t="s">
        <v>262</v>
      </c>
      <c r="I127" s="9">
        <v>7503450000</v>
      </c>
      <c r="J127" s="9"/>
      <c r="K127" s="9"/>
      <c r="L127" s="10"/>
      <c r="M127" s="4" t="s">
        <v>316</v>
      </c>
      <c r="N127" s="4" t="s">
        <v>317</v>
      </c>
      <c r="O127" s="12" t="s">
        <v>222</v>
      </c>
    </row>
    <row r="128" spans="1:15" ht="43.2" x14ac:dyDescent="0.3">
      <c r="A128" s="11" t="s">
        <v>320</v>
      </c>
      <c r="B128" s="4" t="s">
        <v>33</v>
      </c>
      <c r="C128" s="4" t="s">
        <v>39</v>
      </c>
      <c r="D128" s="4" t="s">
        <v>48</v>
      </c>
      <c r="E128" s="4" t="s">
        <v>321</v>
      </c>
      <c r="F128" s="4" t="s">
        <v>254</v>
      </c>
      <c r="G128" s="4" t="s">
        <v>73</v>
      </c>
      <c r="H128" s="4" t="s">
        <v>322</v>
      </c>
      <c r="I128" s="9">
        <v>1639450000</v>
      </c>
      <c r="J128" s="9"/>
      <c r="K128" s="9"/>
      <c r="L128" s="10"/>
      <c r="M128" s="4" t="s">
        <v>316</v>
      </c>
      <c r="N128" s="4" t="s">
        <v>317</v>
      </c>
      <c r="O128" s="12" t="s">
        <v>222</v>
      </c>
    </row>
    <row r="129" spans="1:15" ht="43.2" x14ac:dyDescent="0.3">
      <c r="A129" s="11" t="s">
        <v>323</v>
      </c>
      <c r="B129" s="4" t="s">
        <v>33</v>
      </c>
      <c r="C129" s="4" t="s">
        <v>39</v>
      </c>
      <c r="D129" s="4" t="s">
        <v>51</v>
      </c>
      <c r="E129" s="4" t="s">
        <v>324</v>
      </c>
      <c r="F129" s="4" t="s">
        <v>254</v>
      </c>
      <c r="G129" s="4" t="s">
        <v>73</v>
      </c>
      <c r="H129" s="4" t="s">
        <v>325</v>
      </c>
      <c r="I129" s="9">
        <v>835600000</v>
      </c>
      <c r="J129" s="9"/>
      <c r="K129" s="9"/>
      <c r="L129" s="10"/>
      <c r="M129" s="4" t="s">
        <v>316</v>
      </c>
      <c r="N129" s="4" t="s">
        <v>317</v>
      </c>
      <c r="O129" s="12" t="s">
        <v>222</v>
      </c>
    </row>
    <row r="130" spans="1:15" ht="43.2" x14ac:dyDescent="0.3">
      <c r="A130" s="11" t="s">
        <v>326</v>
      </c>
      <c r="B130" s="4" t="s">
        <v>33</v>
      </c>
      <c r="C130" s="4" t="s">
        <v>39</v>
      </c>
      <c r="D130" s="4" t="s">
        <v>51</v>
      </c>
      <c r="E130" s="4" t="s">
        <v>327</v>
      </c>
      <c r="F130" s="4" t="s">
        <v>254</v>
      </c>
      <c r="G130" s="4" t="s">
        <v>73</v>
      </c>
      <c r="H130" s="4" t="s">
        <v>328</v>
      </c>
      <c r="I130" s="9">
        <v>134700000</v>
      </c>
      <c r="J130" s="9"/>
      <c r="K130" s="9"/>
      <c r="L130" s="10"/>
      <c r="M130" s="4" t="s">
        <v>316</v>
      </c>
      <c r="N130" s="4" t="s">
        <v>317</v>
      </c>
      <c r="O130" s="12" t="s">
        <v>222</v>
      </c>
    </row>
    <row r="131" spans="1:15" ht="43.2" x14ac:dyDescent="0.3">
      <c r="A131" s="11" t="s">
        <v>329</v>
      </c>
      <c r="B131" s="4" t="s">
        <v>33</v>
      </c>
      <c r="C131" s="4" t="s">
        <v>39</v>
      </c>
      <c r="D131" s="4" t="s">
        <v>55</v>
      </c>
      <c r="E131" s="4" t="s">
        <v>238</v>
      </c>
      <c r="F131" s="4" t="s">
        <v>220</v>
      </c>
      <c r="G131" s="4" t="s">
        <v>73</v>
      </c>
      <c r="H131" s="4" t="s">
        <v>239</v>
      </c>
      <c r="I131" s="9">
        <v>60750000</v>
      </c>
      <c r="J131" s="9"/>
      <c r="K131" s="9"/>
      <c r="L131" s="10"/>
      <c r="M131" s="4" t="s">
        <v>316</v>
      </c>
      <c r="N131" s="4" t="s">
        <v>317</v>
      </c>
      <c r="O131" s="12" t="s">
        <v>222</v>
      </c>
    </row>
    <row r="132" spans="1:15" ht="28.8" x14ac:dyDescent="0.3">
      <c r="A132" s="11" t="s">
        <v>330</v>
      </c>
      <c r="B132" s="4" t="s">
        <v>31</v>
      </c>
      <c r="C132" s="4" t="s">
        <v>35</v>
      </c>
      <c r="D132" s="4" t="s">
        <v>48</v>
      </c>
      <c r="E132" s="4" t="s">
        <v>331</v>
      </c>
      <c r="F132" s="4" t="s">
        <v>332</v>
      </c>
      <c r="G132" s="4" t="s">
        <v>333</v>
      </c>
      <c r="H132" s="4" t="s">
        <v>334</v>
      </c>
      <c r="I132" s="9">
        <v>30000000</v>
      </c>
      <c r="J132" s="9">
        <v>8464650</v>
      </c>
      <c r="K132" s="9">
        <v>21535350</v>
      </c>
      <c r="L132" s="10">
        <v>0.28215499999999999</v>
      </c>
      <c r="M132" s="4" t="s">
        <v>99</v>
      </c>
      <c r="N132" s="4" t="s">
        <v>76</v>
      </c>
      <c r="O132" s="12" t="s">
        <v>335</v>
      </c>
    </row>
    <row r="133" spans="1:15" ht="28.8" x14ac:dyDescent="0.3">
      <c r="A133" s="11" t="s">
        <v>336</v>
      </c>
      <c r="B133" s="4" t="s">
        <v>31</v>
      </c>
      <c r="C133" s="4" t="s">
        <v>35</v>
      </c>
      <c r="D133" s="4" t="s">
        <v>48</v>
      </c>
      <c r="E133" s="4" t="s">
        <v>331</v>
      </c>
      <c r="F133" s="4" t="s">
        <v>332</v>
      </c>
      <c r="G133" s="4" t="s">
        <v>337</v>
      </c>
      <c r="H133" s="4" t="s">
        <v>338</v>
      </c>
      <c r="I133" s="9">
        <v>10200000</v>
      </c>
      <c r="J133" s="9">
        <v>8230879.9999999991</v>
      </c>
      <c r="K133" s="9">
        <v>1969120.0000000009</v>
      </c>
      <c r="L133" s="10">
        <v>0.80694901960784304</v>
      </c>
      <c r="M133" s="4" t="s">
        <v>75</v>
      </c>
      <c r="N133" s="4" t="s">
        <v>76</v>
      </c>
      <c r="O133" s="12" t="s">
        <v>335</v>
      </c>
    </row>
    <row r="134" spans="1:15" ht="28.8" x14ac:dyDescent="0.3">
      <c r="A134" s="11" t="s">
        <v>339</v>
      </c>
      <c r="B134" s="4" t="s">
        <v>31</v>
      </c>
      <c r="C134" s="4" t="s">
        <v>35</v>
      </c>
      <c r="D134" s="4" t="s">
        <v>48</v>
      </c>
      <c r="E134" s="4" t="s">
        <v>331</v>
      </c>
      <c r="F134" s="4" t="s">
        <v>332</v>
      </c>
      <c r="G134" s="4" t="s">
        <v>340</v>
      </c>
      <c r="H134" s="4" t="s">
        <v>341</v>
      </c>
      <c r="I134" s="9">
        <v>15000000</v>
      </c>
      <c r="J134" s="9">
        <v>0</v>
      </c>
      <c r="K134" s="9">
        <v>15000000</v>
      </c>
      <c r="L134" s="10">
        <v>0</v>
      </c>
      <c r="M134" s="4" t="s">
        <v>92</v>
      </c>
      <c r="N134" s="4" t="s">
        <v>76</v>
      </c>
      <c r="O134" s="12" t="s">
        <v>335</v>
      </c>
    </row>
    <row r="135" spans="1:15" ht="43.2" x14ac:dyDescent="0.3">
      <c r="A135" s="11" t="s">
        <v>342</v>
      </c>
      <c r="B135" s="4" t="s">
        <v>31</v>
      </c>
      <c r="C135" s="4" t="s">
        <v>35</v>
      </c>
      <c r="D135" s="4" t="s">
        <v>48</v>
      </c>
      <c r="E135" s="4" t="s">
        <v>331</v>
      </c>
      <c r="F135" s="4" t="s">
        <v>332</v>
      </c>
      <c r="G135" s="4" t="s">
        <v>343</v>
      </c>
      <c r="H135" s="4" t="s">
        <v>344</v>
      </c>
      <c r="I135" s="9">
        <v>20000000</v>
      </c>
      <c r="J135" s="9">
        <v>8461190</v>
      </c>
      <c r="K135" s="9">
        <v>11538810</v>
      </c>
      <c r="L135" s="10">
        <v>0.42305949999999998</v>
      </c>
      <c r="M135" s="4" t="s">
        <v>99</v>
      </c>
      <c r="N135" s="4" t="s">
        <v>76</v>
      </c>
      <c r="O135" s="12" t="s">
        <v>335</v>
      </c>
    </row>
    <row r="136" spans="1:15" ht="28.8" x14ac:dyDescent="0.3">
      <c r="A136" s="11" t="s">
        <v>345</v>
      </c>
      <c r="B136" s="4" t="s">
        <v>31</v>
      </c>
      <c r="C136" s="4" t="s">
        <v>35</v>
      </c>
      <c r="D136" s="4" t="s">
        <v>48</v>
      </c>
      <c r="E136" s="4" t="s">
        <v>331</v>
      </c>
      <c r="F136" s="4" t="s">
        <v>332</v>
      </c>
      <c r="G136" s="4" t="s">
        <v>346</v>
      </c>
      <c r="H136" s="4" t="s">
        <v>347</v>
      </c>
      <c r="I136" s="9">
        <v>15000000</v>
      </c>
      <c r="J136" s="9">
        <v>7885480</v>
      </c>
      <c r="K136" s="9">
        <v>7114520</v>
      </c>
      <c r="L136" s="10">
        <v>0.52569866666666665</v>
      </c>
      <c r="M136" s="4" t="s">
        <v>80</v>
      </c>
      <c r="N136" s="4" t="s">
        <v>76</v>
      </c>
      <c r="O136" s="12" t="s">
        <v>335</v>
      </c>
    </row>
    <row r="137" spans="1:15" ht="28.8" x14ac:dyDescent="0.3">
      <c r="A137" s="11" t="s">
        <v>348</v>
      </c>
      <c r="B137" s="4" t="s">
        <v>31</v>
      </c>
      <c r="C137" s="4" t="s">
        <v>35</v>
      </c>
      <c r="D137" s="4" t="s">
        <v>48</v>
      </c>
      <c r="E137" s="4" t="s">
        <v>331</v>
      </c>
      <c r="F137" s="4" t="s">
        <v>332</v>
      </c>
      <c r="G137" s="4" t="s">
        <v>349</v>
      </c>
      <c r="H137" s="4" t="s">
        <v>350</v>
      </c>
      <c r="I137" s="9">
        <v>15000000</v>
      </c>
      <c r="J137" s="9">
        <v>5081680</v>
      </c>
      <c r="K137" s="9">
        <v>9918320</v>
      </c>
      <c r="L137" s="10">
        <v>0.33877866666666667</v>
      </c>
      <c r="M137" s="4" t="s">
        <v>99</v>
      </c>
      <c r="N137" s="4" t="s">
        <v>76</v>
      </c>
      <c r="O137" s="12" t="s">
        <v>335</v>
      </c>
    </row>
    <row r="138" spans="1:15" ht="28.8" x14ac:dyDescent="0.3">
      <c r="A138" s="11" t="s">
        <v>351</v>
      </c>
      <c r="B138" s="4" t="s">
        <v>31</v>
      </c>
      <c r="C138" s="4" t="s">
        <v>35</v>
      </c>
      <c r="D138" s="4" t="s">
        <v>47</v>
      </c>
      <c r="E138" s="4" t="s">
        <v>331</v>
      </c>
      <c r="F138" s="4" t="s">
        <v>332</v>
      </c>
      <c r="G138" s="4" t="s">
        <v>352</v>
      </c>
      <c r="H138" s="4" t="s">
        <v>353</v>
      </c>
      <c r="I138" s="9">
        <v>15010000</v>
      </c>
      <c r="J138" s="9">
        <v>7277000</v>
      </c>
      <c r="K138" s="9">
        <v>7733000</v>
      </c>
      <c r="L138" s="10">
        <v>0.48481012658227851</v>
      </c>
      <c r="M138" s="4" t="s">
        <v>99</v>
      </c>
      <c r="N138" s="4" t="s">
        <v>76</v>
      </c>
      <c r="O138" s="12" t="s">
        <v>335</v>
      </c>
    </row>
    <row r="139" spans="1:15" ht="28.8" x14ac:dyDescent="0.3">
      <c r="A139" s="11" t="s">
        <v>354</v>
      </c>
      <c r="B139" s="4" t="s">
        <v>31</v>
      </c>
      <c r="C139" s="4" t="s">
        <v>35</v>
      </c>
      <c r="D139" s="4" t="s">
        <v>48</v>
      </c>
      <c r="E139" s="4" t="s">
        <v>331</v>
      </c>
      <c r="F139" s="4" t="s">
        <v>332</v>
      </c>
      <c r="G139" s="4" t="s">
        <v>355</v>
      </c>
      <c r="H139" s="4" t="s">
        <v>356</v>
      </c>
      <c r="I139" s="9">
        <v>20000000</v>
      </c>
      <c r="J139" s="9">
        <v>4232000</v>
      </c>
      <c r="K139" s="9">
        <v>15768000</v>
      </c>
      <c r="L139" s="10">
        <v>0.21160000000000001</v>
      </c>
      <c r="M139" s="4" t="s">
        <v>89</v>
      </c>
      <c r="N139" s="4" t="s">
        <v>76</v>
      </c>
      <c r="O139" s="12" t="s">
        <v>335</v>
      </c>
    </row>
    <row r="140" spans="1:15" ht="28.8" x14ac:dyDescent="0.3">
      <c r="A140" s="11" t="s">
        <v>357</v>
      </c>
      <c r="B140" s="4" t="s">
        <v>31</v>
      </c>
      <c r="C140" s="4" t="s">
        <v>35</v>
      </c>
      <c r="D140" s="4" t="s">
        <v>47</v>
      </c>
      <c r="E140" s="4" t="s">
        <v>331</v>
      </c>
      <c r="F140" s="4" t="s">
        <v>332</v>
      </c>
      <c r="G140" s="4" t="s">
        <v>358</v>
      </c>
      <c r="H140" s="4" t="s">
        <v>359</v>
      </c>
      <c r="I140" s="9">
        <v>50000000</v>
      </c>
      <c r="J140" s="9">
        <v>2159000</v>
      </c>
      <c r="K140" s="9">
        <v>47841000</v>
      </c>
      <c r="L140" s="10">
        <v>4.3180000000000003E-2</v>
      </c>
      <c r="M140" s="4" t="s">
        <v>89</v>
      </c>
      <c r="N140" s="4" t="s">
        <v>76</v>
      </c>
      <c r="O140" s="12" t="s">
        <v>335</v>
      </c>
    </row>
    <row r="141" spans="1:15" ht="28.8" x14ac:dyDescent="0.3">
      <c r="A141" s="11" t="s">
        <v>360</v>
      </c>
      <c r="B141" s="4" t="s">
        <v>31</v>
      </c>
      <c r="C141" s="4" t="s">
        <v>35</v>
      </c>
      <c r="D141" s="4" t="s">
        <v>48</v>
      </c>
      <c r="E141" s="4" t="s">
        <v>331</v>
      </c>
      <c r="F141" s="4" t="s">
        <v>332</v>
      </c>
      <c r="G141" s="4" t="s">
        <v>361</v>
      </c>
      <c r="H141" s="4" t="s">
        <v>362</v>
      </c>
      <c r="I141" s="9">
        <v>20000000</v>
      </c>
      <c r="J141" s="9">
        <v>3560000</v>
      </c>
      <c r="K141" s="9">
        <v>16440000</v>
      </c>
      <c r="L141" s="10">
        <v>0.17799999999999999</v>
      </c>
      <c r="M141" s="4" t="s">
        <v>89</v>
      </c>
      <c r="N141" s="4" t="s">
        <v>76</v>
      </c>
      <c r="O141" s="12" t="s">
        <v>335</v>
      </c>
    </row>
    <row r="142" spans="1:15" ht="28.8" x14ac:dyDescent="0.3">
      <c r="A142" s="11" t="s">
        <v>363</v>
      </c>
      <c r="B142" s="4" t="s">
        <v>31</v>
      </c>
      <c r="C142" s="4" t="s">
        <v>35</v>
      </c>
      <c r="D142" s="4" t="s">
        <v>48</v>
      </c>
      <c r="E142" s="4" t="s">
        <v>331</v>
      </c>
      <c r="F142" s="4" t="s">
        <v>332</v>
      </c>
      <c r="G142" s="4" t="s">
        <v>364</v>
      </c>
      <c r="H142" s="4" t="s">
        <v>365</v>
      </c>
      <c r="I142" s="9">
        <v>75000000</v>
      </c>
      <c r="J142" s="9">
        <v>77991000</v>
      </c>
      <c r="K142" s="9">
        <v>-2991000</v>
      </c>
      <c r="L142" s="10">
        <v>1.0398799999999999</v>
      </c>
      <c r="M142" s="4" t="s">
        <v>95</v>
      </c>
      <c r="N142" s="4" t="s">
        <v>96</v>
      </c>
      <c r="O142" s="12" t="s">
        <v>335</v>
      </c>
    </row>
    <row r="143" spans="1:15" ht="28.8" x14ac:dyDescent="0.3">
      <c r="A143" s="11" t="s">
        <v>366</v>
      </c>
      <c r="B143" s="4" t="s">
        <v>31</v>
      </c>
      <c r="C143" s="4" t="s">
        <v>36</v>
      </c>
      <c r="D143" s="4" t="s">
        <v>48</v>
      </c>
      <c r="E143" s="4" t="s">
        <v>331</v>
      </c>
      <c r="F143" s="4" t="s">
        <v>332</v>
      </c>
      <c r="G143" s="4" t="s">
        <v>333</v>
      </c>
      <c r="H143" s="4" t="s">
        <v>334</v>
      </c>
      <c r="I143" s="9">
        <v>45000000</v>
      </c>
      <c r="J143" s="9">
        <v>36898060</v>
      </c>
      <c r="K143" s="9">
        <v>8101940</v>
      </c>
      <c r="L143" s="10">
        <v>0.81995688888888885</v>
      </c>
      <c r="M143" s="4" t="s">
        <v>75</v>
      </c>
      <c r="N143" s="4" t="s">
        <v>76</v>
      </c>
      <c r="O143" s="12" t="s">
        <v>335</v>
      </c>
    </row>
    <row r="144" spans="1:15" ht="28.8" x14ac:dyDescent="0.3">
      <c r="A144" s="11" t="s">
        <v>367</v>
      </c>
      <c r="B144" s="4" t="s">
        <v>31</v>
      </c>
      <c r="C144" s="4" t="s">
        <v>36</v>
      </c>
      <c r="D144" s="4" t="s">
        <v>48</v>
      </c>
      <c r="E144" s="4" t="s">
        <v>331</v>
      </c>
      <c r="F144" s="4" t="s">
        <v>332</v>
      </c>
      <c r="G144" s="4" t="s">
        <v>337</v>
      </c>
      <c r="H144" s="4" t="s">
        <v>338</v>
      </c>
      <c r="I144" s="9">
        <v>2500000</v>
      </c>
      <c r="J144" s="9">
        <v>1877650</v>
      </c>
      <c r="K144" s="9">
        <v>622350</v>
      </c>
      <c r="L144" s="10">
        <v>0.75105999999999995</v>
      </c>
      <c r="M144" s="4" t="s">
        <v>75</v>
      </c>
      <c r="N144" s="4" t="s">
        <v>76</v>
      </c>
      <c r="O144" s="12" t="s">
        <v>335</v>
      </c>
    </row>
    <row r="145" spans="1:15" ht="28.8" x14ac:dyDescent="0.3">
      <c r="A145" s="11" t="s">
        <v>368</v>
      </c>
      <c r="B145" s="4" t="s">
        <v>31</v>
      </c>
      <c r="C145" s="4" t="s">
        <v>36</v>
      </c>
      <c r="D145" s="4" t="s">
        <v>48</v>
      </c>
      <c r="E145" s="4" t="s">
        <v>331</v>
      </c>
      <c r="F145" s="4" t="s">
        <v>332</v>
      </c>
      <c r="G145" s="4" t="s">
        <v>340</v>
      </c>
      <c r="H145" s="4" t="s">
        <v>341</v>
      </c>
      <c r="I145" s="9">
        <v>27000000</v>
      </c>
      <c r="J145" s="9">
        <v>22308630</v>
      </c>
      <c r="K145" s="9">
        <v>4691370</v>
      </c>
      <c r="L145" s="10">
        <v>0.82624555555555557</v>
      </c>
      <c r="M145" s="4" t="s">
        <v>75</v>
      </c>
      <c r="N145" s="4" t="s">
        <v>76</v>
      </c>
      <c r="O145" s="12" t="s">
        <v>335</v>
      </c>
    </row>
    <row r="146" spans="1:15" ht="43.2" x14ac:dyDescent="0.3">
      <c r="A146" s="11" t="s">
        <v>369</v>
      </c>
      <c r="B146" s="4" t="s">
        <v>31</v>
      </c>
      <c r="C146" s="4" t="s">
        <v>36</v>
      </c>
      <c r="D146" s="4" t="s">
        <v>48</v>
      </c>
      <c r="E146" s="4" t="s">
        <v>331</v>
      </c>
      <c r="F146" s="4" t="s">
        <v>332</v>
      </c>
      <c r="G146" s="4" t="s">
        <v>343</v>
      </c>
      <c r="H146" s="4" t="s">
        <v>344</v>
      </c>
      <c r="I146" s="9">
        <v>37000000</v>
      </c>
      <c r="J146" s="9">
        <v>30743780</v>
      </c>
      <c r="K146" s="9">
        <v>6256220</v>
      </c>
      <c r="L146" s="10">
        <v>0.83091297297297295</v>
      </c>
      <c r="M146" s="4" t="s">
        <v>75</v>
      </c>
      <c r="N146" s="4" t="s">
        <v>76</v>
      </c>
      <c r="O146" s="12" t="s">
        <v>335</v>
      </c>
    </row>
    <row r="147" spans="1:15" ht="28.8" x14ac:dyDescent="0.3">
      <c r="A147" s="11" t="s">
        <v>370</v>
      </c>
      <c r="B147" s="4" t="s">
        <v>31</v>
      </c>
      <c r="C147" s="4" t="s">
        <v>36</v>
      </c>
      <c r="D147" s="4" t="s">
        <v>48</v>
      </c>
      <c r="E147" s="4" t="s">
        <v>331</v>
      </c>
      <c r="F147" s="4" t="s">
        <v>332</v>
      </c>
      <c r="G147" s="4" t="s">
        <v>346</v>
      </c>
      <c r="H147" s="4" t="s">
        <v>347</v>
      </c>
      <c r="I147" s="9">
        <v>31800000</v>
      </c>
      <c r="J147" s="9">
        <v>22278230</v>
      </c>
      <c r="K147" s="9">
        <v>9521770</v>
      </c>
      <c r="L147" s="10">
        <v>0.70057327044025153</v>
      </c>
      <c r="M147" s="4" t="s">
        <v>80</v>
      </c>
      <c r="N147" s="4" t="s">
        <v>76</v>
      </c>
      <c r="O147" s="12" t="s">
        <v>335</v>
      </c>
    </row>
    <row r="148" spans="1:15" ht="28.8" x14ac:dyDescent="0.3">
      <c r="A148" s="11" t="s">
        <v>371</v>
      </c>
      <c r="B148" s="4" t="s">
        <v>31</v>
      </c>
      <c r="C148" s="4" t="s">
        <v>36</v>
      </c>
      <c r="D148" s="4" t="s">
        <v>48</v>
      </c>
      <c r="E148" s="4" t="s">
        <v>331</v>
      </c>
      <c r="F148" s="4" t="s">
        <v>332</v>
      </c>
      <c r="G148" s="4" t="s">
        <v>349</v>
      </c>
      <c r="H148" s="4" t="s">
        <v>350</v>
      </c>
      <c r="I148" s="9">
        <v>17300000</v>
      </c>
      <c r="J148" s="9">
        <v>14043710</v>
      </c>
      <c r="K148" s="9">
        <v>3256290</v>
      </c>
      <c r="L148" s="10">
        <v>0.8117751445086705</v>
      </c>
      <c r="M148" s="4" t="s">
        <v>75</v>
      </c>
      <c r="N148" s="4" t="s">
        <v>76</v>
      </c>
      <c r="O148" s="12" t="s">
        <v>335</v>
      </c>
    </row>
    <row r="149" spans="1:15" ht="28.8" x14ac:dyDescent="0.3">
      <c r="A149" s="11" t="s">
        <v>372</v>
      </c>
      <c r="B149" s="4" t="s">
        <v>31</v>
      </c>
      <c r="C149" s="4" t="s">
        <v>36</v>
      </c>
      <c r="D149" s="4" t="s">
        <v>48</v>
      </c>
      <c r="E149" s="4" t="s">
        <v>331</v>
      </c>
      <c r="F149" s="4" t="s">
        <v>332</v>
      </c>
      <c r="G149" s="4" t="s">
        <v>358</v>
      </c>
      <c r="H149" s="4" t="s">
        <v>373</v>
      </c>
      <c r="I149" s="9">
        <v>75000000</v>
      </c>
      <c r="J149" s="9">
        <v>16404000</v>
      </c>
      <c r="K149" s="9">
        <v>58596000</v>
      </c>
      <c r="L149" s="10">
        <v>0.21872</v>
      </c>
      <c r="M149" s="4" t="s">
        <v>89</v>
      </c>
      <c r="N149" s="4" t="s">
        <v>76</v>
      </c>
      <c r="O149" s="12" t="s">
        <v>335</v>
      </c>
    </row>
    <row r="150" spans="1:15" ht="28.8" x14ac:dyDescent="0.3">
      <c r="A150" s="11" t="s">
        <v>374</v>
      </c>
      <c r="B150" s="4" t="s">
        <v>31</v>
      </c>
      <c r="C150" s="4" t="s">
        <v>36</v>
      </c>
      <c r="D150" s="4" t="s">
        <v>48</v>
      </c>
      <c r="E150" s="4" t="s">
        <v>331</v>
      </c>
      <c r="F150" s="4" t="s">
        <v>332</v>
      </c>
      <c r="G150" s="4" t="s">
        <v>375</v>
      </c>
      <c r="H150" s="4" t="s">
        <v>376</v>
      </c>
      <c r="I150" s="9">
        <v>15000000</v>
      </c>
      <c r="J150" s="9">
        <v>6507000</v>
      </c>
      <c r="K150" s="9">
        <v>8493000</v>
      </c>
      <c r="L150" s="10">
        <v>0.43380000000000002</v>
      </c>
      <c r="M150" s="4" t="s">
        <v>99</v>
      </c>
      <c r="N150" s="4" t="s">
        <v>76</v>
      </c>
      <c r="O150" s="12" t="s">
        <v>335</v>
      </c>
    </row>
    <row r="151" spans="1:15" ht="28.8" x14ac:dyDescent="0.3">
      <c r="A151" s="11" t="s">
        <v>377</v>
      </c>
      <c r="B151" s="4" t="s">
        <v>31</v>
      </c>
      <c r="C151" s="4" t="s">
        <v>36</v>
      </c>
      <c r="D151" s="4" t="s">
        <v>51</v>
      </c>
      <c r="E151" s="4" t="s">
        <v>331</v>
      </c>
      <c r="F151" s="4" t="s">
        <v>332</v>
      </c>
      <c r="G151" s="4" t="s">
        <v>378</v>
      </c>
      <c r="H151" s="4" t="s">
        <v>379</v>
      </c>
      <c r="I151" s="9">
        <v>10000000</v>
      </c>
      <c r="J151" s="9">
        <v>6244000</v>
      </c>
      <c r="K151" s="9">
        <v>3756000</v>
      </c>
      <c r="L151" s="10">
        <v>0.62439999999999996</v>
      </c>
      <c r="M151" s="4" t="s">
        <v>80</v>
      </c>
      <c r="N151" s="4" t="s">
        <v>76</v>
      </c>
      <c r="O151" s="12" t="s">
        <v>335</v>
      </c>
    </row>
    <row r="152" spans="1:15" ht="28.8" x14ac:dyDescent="0.3">
      <c r="A152" s="11" t="s">
        <v>380</v>
      </c>
      <c r="B152" s="4" t="s">
        <v>31</v>
      </c>
      <c r="C152" s="4" t="s">
        <v>36</v>
      </c>
      <c r="D152" s="4" t="s">
        <v>47</v>
      </c>
      <c r="E152" s="4" t="s">
        <v>331</v>
      </c>
      <c r="F152" s="4" t="s">
        <v>332</v>
      </c>
      <c r="G152" s="4" t="s">
        <v>381</v>
      </c>
      <c r="H152" s="4" t="s">
        <v>382</v>
      </c>
      <c r="I152" s="9">
        <v>15000000</v>
      </c>
      <c r="J152" s="9">
        <v>7453580</v>
      </c>
      <c r="K152" s="9">
        <v>7546420</v>
      </c>
      <c r="L152" s="10">
        <v>0.49690533333333331</v>
      </c>
      <c r="M152" s="4" t="s">
        <v>99</v>
      </c>
      <c r="N152" s="4" t="s">
        <v>76</v>
      </c>
      <c r="O152" s="12" t="s">
        <v>335</v>
      </c>
    </row>
    <row r="153" spans="1:15" ht="28.8" x14ac:dyDescent="0.3">
      <c r="A153" s="11" t="s">
        <v>383</v>
      </c>
      <c r="B153" s="4" t="s">
        <v>31</v>
      </c>
      <c r="C153" s="4" t="s">
        <v>36</v>
      </c>
      <c r="D153" s="4" t="s">
        <v>48</v>
      </c>
      <c r="E153" s="4" t="s">
        <v>331</v>
      </c>
      <c r="F153" s="4" t="s">
        <v>332</v>
      </c>
      <c r="G153" s="4" t="s">
        <v>355</v>
      </c>
      <c r="H153" s="4" t="s">
        <v>384</v>
      </c>
      <c r="I153" s="9">
        <v>24500000</v>
      </c>
      <c r="J153" s="9">
        <v>8189340</v>
      </c>
      <c r="K153" s="9">
        <v>16310660</v>
      </c>
      <c r="L153" s="10">
        <v>0.33425877551020411</v>
      </c>
      <c r="M153" s="4" t="s">
        <v>99</v>
      </c>
      <c r="N153" s="4" t="s">
        <v>76</v>
      </c>
      <c r="O153" s="12" t="s">
        <v>335</v>
      </c>
    </row>
    <row r="154" spans="1:15" ht="28.8" x14ac:dyDescent="0.3">
      <c r="A154" s="11" t="s">
        <v>385</v>
      </c>
      <c r="B154" s="4" t="s">
        <v>31</v>
      </c>
      <c r="C154" s="4" t="s">
        <v>37</v>
      </c>
      <c r="D154" s="4" t="s">
        <v>48</v>
      </c>
      <c r="E154" s="4" t="s">
        <v>331</v>
      </c>
      <c r="F154" s="4" t="s">
        <v>332</v>
      </c>
      <c r="G154" s="4" t="s">
        <v>386</v>
      </c>
      <c r="H154" s="4" t="s">
        <v>387</v>
      </c>
      <c r="I154" s="9">
        <v>90000000</v>
      </c>
      <c r="J154" s="9">
        <v>76269420</v>
      </c>
      <c r="K154" s="9">
        <v>13730580</v>
      </c>
      <c r="L154" s="10">
        <v>0.84743800000000002</v>
      </c>
      <c r="M154" s="4" t="s">
        <v>75</v>
      </c>
      <c r="N154" s="4" t="s">
        <v>76</v>
      </c>
      <c r="O154" s="12" t="s">
        <v>335</v>
      </c>
    </row>
    <row r="155" spans="1:15" ht="28.8" x14ac:dyDescent="0.3">
      <c r="A155" s="11" t="s">
        <v>388</v>
      </c>
      <c r="B155" s="4" t="s">
        <v>31</v>
      </c>
      <c r="C155" s="4" t="s">
        <v>37</v>
      </c>
      <c r="D155" s="4" t="s">
        <v>48</v>
      </c>
      <c r="E155" s="4" t="s">
        <v>331</v>
      </c>
      <c r="F155" s="4" t="s">
        <v>332</v>
      </c>
      <c r="G155" s="4" t="s">
        <v>389</v>
      </c>
      <c r="H155" s="4" t="s">
        <v>390</v>
      </c>
      <c r="I155" s="9">
        <v>80000000</v>
      </c>
      <c r="J155" s="9">
        <v>64627530</v>
      </c>
      <c r="K155" s="9">
        <v>15372470</v>
      </c>
      <c r="L155" s="10">
        <v>0.80784412500000002</v>
      </c>
      <c r="M155" s="4" t="s">
        <v>75</v>
      </c>
      <c r="N155" s="4" t="s">
        <v>76</v>
      </c>
      <c r="O155" s="12" t="s">
        <v>335</v>
      </c>
    </row>
    <row r="156" spans="1:15" ht="28.8" x14ac:dyDescent="0.3">
      <c r="A156" s="11" t="s">
        <v>391</v>
      </c>
      <c r="B156" s="4" t="s">
        <v>31</v>
      </c>
      <c r="C156" s="4" t="s">
        <v>37</v>
      </c>
      <c r="D156" s="4" t="s">
        <v>48</v>
      </c>
      <c r="E156" s="4" t="s">
        <v>331</v>
      </c>
      <c r="F156" s="4" t="s">
        <v>332</v>
      </c>
      <c r="G156" s="4" t="s">
        <v>392</v>
      </c>
      <c r="H156" s="4" t="s">
        <v>393</v>
      </c>
      <c r="I156" s="9">
        <v>50000000</v>
      </c>
      <c r="J156" s="9">
        <v>42369180</v>
      </c>
      <c r="K156" s="9">
        <v>7630820</v>
      </c>
      <c r="L156" s="10">
        <v>0.84738360000000001</v>
      </c>
      <c r="M156" s="4" t="s">
        <v>75</v>
      </c>
      <c r="N156" s="4" t="s">
        <v>76</v>
      </c>
      <c r="O156" s="12" t="s">
        <v>335</v>
      </c>
    </row>
    <row r="157" spans="1:15" ht="28.8" x14ac:dyDescent="0.3">
      <c r="A157" s="11" t="s">
        <v>394</v>
      </c>
      <c r="B157" s="4" t="s">
        <v>31</v>
      </c>
      <c r="C157" s="4" t="s">
        <v>37</v>
      </c>
      <c r="D157" s="4" t="s">
        <v>48</v>
      </c>
      <c r="E157" s="4" t="s">
        <v>331</v>
      </c>
      <c r="F157" s="4" t="s">
        <v>332</v>
      </c>
      <c r="G157" s="4" t="s">
        <v>395</v>
      </c>
      <c r="H157" s="4" t="s">
        <v>396</v>
      </c>
      <c r="I157" s="9">
        <v>50000000</v>
      </c>
      <c r="J157" s="9">
        <v>24048000</v>
      </c>
      <c r="K157" s="9">
        <v>25952000</v>
      </c>
      <c r="L157" s="10">
        <v>0.48096</v>
      </c>
      <c r="M157" s="4" t="s">
        <v>99</v>
      </c>
      <c r="N157" s="4" t="s">
        <v>76</v>
      </c>
      <c r="O157" s="12" t="s">
        <v>335</v>
      </c>
    </row>
    <row r="158" spans="1:15" ht="28.8" x14ac:dyDescent="0.3">
      <c r="A158" s="11" t="s">
        <v>397</v>
      </c>
      <c r="B158" s="4" t="s">
        <v>31</v>
      </c>
      <c r="C158" s="4" t="s">
        <v>37</v>
      </c>
      <c r="D158" s="4" t="s">
        <v>48</v>
      </c>
      <c r="E158" s="4" t="s">
        <v>331</v>
      </c>
      <c r="F158" s="4" t="s">
        <v>332</v>
      </c>
      <c r="G158" s="4" t="s">
        <v>398</v>
      </c>
      <c r="H158" s="4" t="s">
        <v>399</v>
      </c>
      <c r="I158" s="9">
        <v>7750000</v>
      </c>
      <c r="J158" s="9">
        <v>2518564.98</v>
      </c>
      <c r="K158" s="9">
        <v>5231435.0199999996</v>
      </c>
      <c r="L158" s="10">
        <v>0.32497612645161289</v>
      </c>
      <c r="M158" s="4" t="s">
        <v>99</v>
      </c>
      <c r="N158" s="4" t="s">
        <v>76</v>
      </c>
      <c r="O158" s="12" t="s">
        <v>335</v>
      </c>
    </row>
    <row r="159" spans="1:15" ht="28.8" x14ac:dyDescent="0.3">
      <c r="A159" s="11" t="s">
        <v>400</v>
      </c>
      <c r="B159" s="4" t="s">
        <v>31</v>
      </c>
      <c r="C159" s="4" t="s">
        <v>37</v>
      </c>
      <c r="D159" s="4" t="s">
        <v>47</v>
      </c>
      <c r="E159" s="4" t="s">
        <v>331</v>
      </c>
      <c r="F159" s="4" t="s">
        <v>332</v>
      </c>
      <c r="G159" s="4" t="s">
        <v>401</v>
      </c>
      <c r="H159" s="4" t="s">
        <v>402</v>
      </c>
      <c r="I159" s="9">
        <v>80000000</v>
      </c>
      <c r="J159" s="9">
        <v>47348000</v>
      </c>
      <c r="K159" s="9">
        <v>32652000</v>
      </c>
      <c r="L159" s="10">
        <v>0.59184999999999999</v>
      </c>
      <c r="M159" s="4" t="s">
        <v>80</v>
      </c>
      <c r="N159" s="4" t="s">
        <v>76</v>
      </c>
      <c r="O159" s="12" t="s">
        <v>335</v>
      </c>
    </row>
    <row r="160" spans="1:15" ht="28.8" x14ac:dyDescent="0.3">
      <c r="A160" s="11" t="s">
        <v>403</v>
      </c>
      <c r="B160" s="4" t="s">
        <v>31</v>
      </c>
      <c r="C160" s="4" t="s">
        <v>37</v>
      </c>
      <c r="D160" s="4" t="s">
        <v>47</v>
      </c>
      <c r="E160" s="4" t="s">
        <v>331</v>
      </c>
      <c r="F160" s="4" t="s">
        <v>332</v>
      </c>
      <c r="G160" s="4" t="s">
        <v>404</v>
      </c>
      <c r="H160" s="4" t="s">
        <v>405</v>
      </c>
      <c r="I160" s="9">
        <v>10000000</v>
      </c>
      <c r="J160" s="9">
        <v>7263838.3999999994</v>
      </c>
      <c r="K160" s="9">
        <v>2736161.600000001</v>
      </c>
      <c r="L160" s="10">
        <v>0.72638383999999989</v>
      </c>
      <c r="M160" s="4" t="s">
        <v>80</v>
      </c>
      <c r="N160" s="4" t="s">
        <v>76</v>
      </c>
      <c r="O160" s="12" t="s">
        <v>335</v>
      </c>
    </row>
    <row r="161" spans="1:15" ht="28.8" x14ac:dyDescent="0.3">
      <c r="A161" s="11" t="s">
        <v>406</v>
      </c>
      <c r="B161" s="4" t="s">
        <v>31</v>
      </c>
      <c r="C161" s="4" t="s">
        <v>37</v>
      </c>
      <c r="D161" s="4" t="s">
        <v>47</v>
      </c>
      <c r="E161" s="4" t="s">
        <v>331</v>
      </c>
      <c r="F161" s="4" t="s">
        <v>332</v>
      </c>
      <c r="G161" s="4" t="s">
        <v>407</v>
      </c>
      <c r="H161" s="4" t="s">
        <v>408</v>
      </c>
      <c r="I161" s="9">
        <v>10000000</v>
      </c>
      <c r="J161" s="9">
        <v>7965382.2600000007</v>
      </c>
      <c r="K161" s="9">
        <v>2034617.7399999991</v>
      </c>
      <c r="L161" s="10">
        <v>0.79653822600000002</v>
      </c>
      <c r="M161" s="4" t="s">
        <v>75</v>
      </c>
      <c r="N161" s="4" t="s">
        <v>76</v>
      </c>
      <c r="O161" s="12" t="s">
        <v>335</v>
      </c>
    </row>
    <row r="162" spans="1:15" ht="28.8" x14ac:dyDescent="0.3">
      <c r="A162" s="11" t="s">
        <v>409</v>
      </c>
      <c r="B162" s="4" t="s">
        <v>31</v>
      </c>
      <c r="C162" s="4" t="s">
        <v>37</v>
      </c>
      <c r="D162" s="4" t="s">
        <v>48</v>
      </c>
      <c r="E162" s="4" t="s">
        <v>331</v>
      </c>
      <c r="F162" s="4" t="s">
        <v>332</v>
      </c>
      <c r="G162" s="4" t="s">
        <v>355</v>
      </c>
      <c r="H162" s="4" t="s">
        <v>384</v>
      </c>
      <c r="I162" s="9">
        <v>25000000</v>
      </c>
      <c r="J162" s="9">
        <v>20513000</v>
      </c>
      <c r="K162" s="9">
        <v>4487000</v>
      </c>
      <c r="L162" s="10">
        <v>0.82052000000000003</v>
      </c>
      <c r="M162" s="4" t="s">
        <v>75</v>
      </c>
      <c r="N162" s="4" t="s">
        <v>76</v>
      </c>
      <c r="O162" s="12" t="s">
        <v>335</v>
      </c>
    </row>
    <row r="163" spans="1:15" ht="28.8" x14ac:dyDescent="0.3">
      <c r="A163" s="11" t="s">
        <v>410</v>
      </c>
      <c r="B163" s="4" t="s">
        <v>31</v>
      </c>
      <c r="C163" s="4" t="s">
        <v>37</v>
      </c>
      <c r="D163" s="4" t="s">
        <v>51</v>
      </c>
      <c r="E163" s="4" t="s">
        <v>331</v>
      </c>
      <c r="F163" s="4" t="s">
        <v>332</v>
      </c>
      <c r="G163" s="4" t="s">
        <v>411</v>
      </c>
      <c r="H163" s="4" t="s">
        <v>412</v>
      </c>
      <c r="I163" s="9">
        <v>6343000</v>
      </c>
      <c r="J163" s="9">
        <v>3774000</v>
      </c>
      <c r="K163" s="9">
        <v>2569000</v>
      </c>
      <c r="L163" s="10">
        <v>0.59498659940091436</v>
      </c>
      <c r="M163" s="4" t="s">
        <v>80</v>
      </c>
      <c r="N163" s="4" t="s">
        <v>76</v>
      </c>
      <c r="O163" s="12" t="s">
        <v>335</v>
      </c>
    </row>
    <row r="164" spans="1:15" ht="28.8" x14ac:dyDescent="0.3">
      <c r="A164" s="11" t="s">
        <v>413</v>
      </c>
      <c r="B164" s="4" t="s">
        <v>31</v>
      </c>
      <c r="C164" s="4" t="s">
        <v>37</v>
      </c>
      <c r="D164" s="4" t="s">
        <v>48</v>
      </c>
      <c r="E164" s="4" t="s">
        <v>331</v>
      </c>
      <c r="F164" s="4" t="s">
        <v>332</v>
      </c>
      <c r="G164" s="4" t="s">
        <v>358</v>
      </c>
      <c r="H164" s="4" t="s">
        <v>414</v>
      </c>
      <c r="I164" s="9">
        <v>70000000</v>
      </c>
      <c r="J164" s="9">
        <v>5438000</v>
      </c>
      <c r="K164" s="9">
        <v>64562000</v>
      </c>
      <c r="L164" s="10">
        <v>7.7685714285714288E-2</v>
      </c>
      <c r="M164" s="4" t="s">
        <v>89</v>
      </c>
      <c r="N164" s="4" t="s">
        <v>76</v>
      </c>
      <c r="O164" s="12" t="s">
        <v>335</v>
      </c>
    </row>
    <row r="165" spans="1:15" ht="28.8" x14ac:dyDescent="0.3">
      <c r="A165" s="11" t="s">
        <v>415</v>
      </c>
      <c r="B165" s="4" t="s">
        <v>31</v>
      </c>
      <c r="C165" s="4" t="s">
        <v>37</v>
      </c>
      <c r="D165" s="4" t="s">
        <v>51</v>
      </c>
      <c r="E165" s="4" t="s">
        <v>331</v>
      </c>
      <c r="F165" s="4" t="s">
        <v>332</v>
      </c>
      <c r="G165" s="4" t="s">
        <v>378</v>
      </c>
      <c r="H165" s="4" t="s">
        <v>416</v>
      </c>
      <c r="I165" s="9">
        <v>14288000</v>
      </c>
      <c r="J165" s="9">
        <v>11347000</v>
      </c>
      <c r="K165" s="9">
        <v>2941000</v>
      </c>
      <c r="L165" s="10">
        <v>0.79416293393057114</v>
      </c>
      <c r="M165" s="4" t="s">
        <v>75</v>
      </c>
      <c r="N165" s="4" t="s">
        <v>76</v>
      </c>
      <c r="O165" s="12" t="s">
        <v>335</v>
      </c>
    </row>
    <row r="166" spans="1:15" ht="28.8" x14ac:dyDescent="0.3">
      <c r="A166" s="11" t="s">
        <v>417</v>
      </c>
      <c r="B166" s="4" t="s">
        <v>31</v>
      </c>
      <c r="C166" s="4" t="s">
        <v>37</v>
      </c>
      <c r="D166" s="4" t="s">
        <v>48</v>
      </c>
      <c r="E166" s="4" t="s">
        <v>331</v>
      </c>
      <c r="F166" s="4" t="s">
        <v>332</v>
      </c>
      <c r="G166" s="4" t="s">
        <v>375</v>
      </c>
      <c r="H166" s="4" t="s">
        <v>376</v>
      </c>
      <c r="I166" s="9">
        <v>15108000</v>
      </c>
      <c r="J166" s="9">
        <v>15020000</v>
      </c>
      <c r="K166" s="9">
        <v>88000</v>
      </c>
      <c r="L166" s="10">
        <v>0.99417527137940165</v>
      </c>
      <c r="M166" s="4" t="s">
        <v>75</v>
      </c>
      <c r="N166" s="4" t="s">
        <v>76</v>
      </c>
      <c r="O166" s="12" t="s">
        <v>335</v>
      </c>
    </row>
    <row r="167" spans="1:15" ht="28.8" x14ac:dyDescent="0.3">
      <c r="A167" s="11" t="s">
        <v>418</v>
      </c>
      <c r="B167" s="4" t="s">
        <v>31</v>
      </c>
      <c r="C167" s="4" t="s">
        <v>37</v>
      </c>
      <c r="D167" s="4" t="s">
        <v>48</v>
      </c>
      <c r="E167" s="4" t="s">
        <v>331</v>
      </c>
      <c r="F167" s="4" t="s">
        <v>332</v>
      </c>
      <c r="G167" s="4" t="s">
        <v>361</v>
      </c>
      <c r="H167" s="4" t="s">
        <v>362</v>
      </c>
      <c r="I167" s="9">
        <v>24085000</v>
      </c>
      <c r="J167" s="9">
        <v>11985000</v>
      </c>
      <c r="K167" s="9">
        <v>12100000</v>
      </c>
      <c r="L167" s="10">
        <v>0.49761262196387801</v>
      </c>
      <c r="M167" s="4" t="s">
        <v>99</v>
      </c>
      <c r="N167" s="4" t="s">
        <v>76</v>
      </c>
      <c r="O167" s="12" t="s">
        <v>335</v>
      </c>
    </row>
    <row r="168" spans="1:15" ht="28.8" x14ac:dyDescent="0.3">
      <c r="A168" s="11" t="s">
        <v>419</v>
      </c>
      <c r="B168" s="4" t="s">
        <v>31</v>
      </c>
      <c r="C168" s="4" t="s">
        <v>38</v>
      </c>
      <c r="D168" s="4" t="s">
        <v>48</v>
      </c>
      <c r="E168" s="4" t="s">
        <v>331</v>
      </c>
      <c r="F168" s="4" t="s">
        <v>332</v>
      </c>
      <c r="G168" s="4" t="s">
        <v>386</v>
      </c>
      <c r="H168" s="4" t="s">
        <v>387</v>
      </c>
      <c r="I168" s="9">
        <v>69500000</v>
      </c>
      <c r="J168" s="9">
        <v>144423000</v>
      </c>
      <c r="K168" s="9">
        <v>-74923000</v>
      </c>
      <c r="L168" s="10">
        <v>2.0780287769784169</v>
      </c>
      <c r="M168" s="4" t="s">
        <v>95</v>
      </c>
      <c r="N168" s="4" t="s">
        <v>96</v>
      </c>
      <c r="O168" s="12" t="s">
        <v>335</v>
      </c>
    </row>
    <row r="169" spans="1:15" ht="28.8" x14ac:dyDescent="0.3">
      <c r="A169" s="11" t="s">
        <v>420</v>
      </c>
      <c r="B169" s="4" t="s">
        <v>31</v>
      </c>
      <c r="C169" s="4" t="s">
        <v>38</v>
      </c>
      <c r="D169" s="4" t="s">
        <v>48</v>
      </c>
      <c r="E169" s="4" t="s">
        <v>331</v>
      </c>
      <c r="F169" s="4" t="s">
        <v>332</v>
      </c>
      <c r="G169" s="4" t="s">
        <v>389</v>
      </c>
      <c r="H169" s="4" t="s">
        <v>390</v>
      </c>
      <c r="I169" s="9">
        <v>29000000</v>
      </c>
      <c r="J169" s="9">
        <v>87615000</v>
      </c>
      <c r="K169" s="9">
        <v>-58615000</v>
      </c>
      <c r="L169" s="10">
        <v>3.0212068965517238</v>
      </c>
      <c r="M169" s="4" t="s">
        <v>95</v>
      </c>
      <c r="N169" s="4" t="s">
        <v>96</v>
      </c>
      <c r="O169" s="12" t="s">
        <v>335</v>
      </c>
    </row>
    <row r="170" spans="1:15" ht="28.8" x14ac:dyDescent="0.3">
      <c r="A170" s="11" t="s">
        <v>421</v>
      </c>
      <c r="B170" s="4" t="s">
        <v>31</v>
      </c>
      <c r="C170" s="4" t="s">
        <v>38</v>
      </c>
      <c r="D170" s="4" t="s">
        <v>48</v>
      </c>
      <c r="E170" s="4" t="s">
        <v>331</v>
      </c>
      <c r="F170" s="4" t="s">
        <v>332</v>
      </c>
      <c r="G170" s="4" t="s">
        <v>392</v>
      </c>
      <c r="H170" s="4" t="s">
        <v>393</v>
      </c>
      <c r="I170" s="9">
        <v>67200000</v>
      </c>
      <c r="J170" s="9">
        <v>104650000</v>
      </c>
      <c r="K170" s="9">
        <v>-37450000</v>
      </c>
      <c r="L170" s="10">
        <v>1.557291666666667</v>
      </c>
      <c r="M170" s="4" t="s">
        <v>95</v>
      </c>
      <c r="N170" s="4" t="s">
        <v>96</v>
      </c>
      <c r="O170" s="12" t="s">
        <v>335</v>
      </c>
    </row>
    <row r="171" spans="1:15" ht="28.8" x14ac:dyDescent="0.3">
      <c r="A171" s="11" t="s">
        <v>422</v>
      </c>
      <c r="B171" s="4" t="s">
        <v>31</v>
      </c>
      <c r="C171" s="4" t="s">
        <v>38</v>
      </c>
      <c r="D171" s="4" t="s">
        <v>48</v>
      </c>
      <c r="E171" s="4" t="s">
        <v>331</v>
      </c>
      <c r="F171" s="4" t="s">
        <v>332</v>
      </c>
      <c r="G171" s="4" t="s">
        <v>395</v>
      </c>
      <c r="H171" s="4" t="s">
        <v>396</v>
      </c>
      <c r="I171" s="9">
        <v>50000000</v>
      </c>
      <c r="J171" s="9">
        <v>87038000</v>
      </c>
      <c r="K171" s="9">
        <v>-37038000</v>
      </c>
      <c r="L171" s="10">
        <v>1.7407600000000001</v>
      </c>
      <c r="M171" s="4" t="s">
        <v>95</v>
      </c>
      <c r="N171" s="4" t="s">
        <v>96</v>
      </c>
      <c r="O171" s="12" t="s">
        <v>335</v>
      </c>
    </row>
    <row r="172" spans="1:15" ht="28.8" x14ac:dyDescent="0.3">
      <c r="A172" s="11" t="s">
        <v>423</v>
      </c>
      <c r="B172" s="4" t="s">
        <v>31</v>
      </c>
      <c r="C172" s="4" t="s">
        <v>38</v>
      </c>
      <c r="D172" s="4" t="s">
        <v>48</v>
      </c>
      <c r="E172" s="4" t="s">
        <v>331</v>
      </c>
      <c r="F172" s="4" t="s">
        <v>332</v>
      </c>
      <c r="G172" s="4" t="s">
        <v>398</v>
      </c>
      <c r="H172" s="4" t="s">
        <v>399</v>
      </c>
      <c r="I172" s="9">
        <v>6275000</v>
      </c>
      <c r="J172" s="9">
        <v>6978000</v>
      </c>
      <c r="K172" s="9">
        <v>-703000</v>
      </c>
      <c r="L172" s="10">
        <v>1.1120318725099601</v>
      </c>
      <c r="M172" s="4" t="s">
        <v>95</v>
      </c>
      <c r="N172" s="4" t="s">
        <v>96</v>
      </c>
      <c r="O172" s="12" t="s">
        <v>335</v>
      </c>
    </row>
    <row r="173" spans="1:15" ht="28.8" x14ac:dyDescent="0.3">
      <c r="A173" s="11" t="s">
        <v>424</v>
      </c>
      <c r="B173" s="4" t="s">
        <v>31</v>
      </c>
      <c r="C173" s="4" t="s">
        <v>38</v>
      </c>
      <c r="D173" s="4" t="s">
        <v>47</v>
      </c>
      <c r="E173" s="4" t="s">
        <v>331</v>
      </c>
      <c r="F173" s="4" t="s">
        <v>332</v>
      </c>
      <c r="G173" s="4" t="s">
        <v>381</v>
      </c>
      <c r="H173" s="4" t="s">
        <v>382</v>
      </c>
      <c r="I173" s="9">
        <v>160000000</v>
      </c>
      <c r="J173" s="9">
        <v>169938000</v>
      </c>
      <c r="K173" s="9">
        <v>-9938000</v>
      </c>
      <c r="L173" s="10">
        <v>1.0621125</v>
      </c>
      <c r="M173" s="4" t="s">
        <v>95</v>
      </c>
      <c r="N173" s="4" t="s">
        <v>96</v>
      </c>
      <c r="O173" s="12" t="s">
        <v>335</v>
      </c>
    </row>
    <row r="174" spans="1:15" ht="28.8" x14ac:dyDescent="0.3">
      <c r="A174" s="11" t="s">
        <v>425</v>
      </c>
      <c r="B174" s="4" t="s">
        <v>31</v>
      </c>
      <c r="C174" s="4" t="s">
        <v>38</v>
      </c>
      <c r="D174" s="4" t="s">
        <v>47</v>
      </c>
      <c r="E174" s="4" t="s">
        <v>331</v>
      </c>
      <c r="F174" s="4" t="s">
        <v>332</v>
      </c>
      <c r="G174" s="4" t="s">
        <v>404</v>
      </c>
      <c r="H174" s="4" t="s">
        <v>405</v>
      </c>
      <c r="I174" s="9">
        <v>100000000</v>
      </c>
      <c r="J174" s="9">
        <v>209616000</v>
      </c>
      <c r="K174" s="9">
        <v>-109616000</v>
      </c>
      <c r="L174" s="10">
        <v>2.0961599999999998</v>
      </c>
      <c r="M174" s="4" t="s">
        <v>95</v>
      </c>
      <c r="N174" s="4" t="s">
        <v>96</v>
      </c>
      <c r="O174" s="12" t="s">
        <v>335</v>
      </c>
    </row>
    <row r="175" spans="1:15" ht="28.8" x14ac:dyDescent="0.3">
      <c r="A175" s="11" t="s">
        <v>426</v>
      </c>
      <c r="B175" s="4" t="s">
        <v>31</v>
      </c>
      <c r="C175" s="4" t="s">
        <v>38</v>
      </c>
      <c r="D175" s="4" t="s">
        <v>47</v>
      </c>
      <c r="E175" s="4" t="s">
        <v>331</v>
      </c>
      <c r="F175" s="4" t="s">
        <v>332</v>
      </c>
      <c r="G175" s="4" t="s">
        <v>427</v>
      </c>
      <c r="H175" s="4" t="s">
        <v>428</v>
      </c>
      <c r="I175" s="9">
        <v>30000000</v>
      </c>
      <c r="J175" s="9">
        <v>46572000</v>
      </c>
      <c r="K175" s="9">
        <v>-16572000</v>
      </c>
      <c r="L175" s="10">
        <v>1.5524</v>
      </c>
      <c r="M175" s="4" t="s">
        <v>95</v>
      </c>
      <c r="N175" s="4" t="s">
        <v>96</v>
      </c>
      <c r="O175" s="12" t="s">
        <v>335</v>
      </c>
    </row>
    <row r="176" spans="1:15" ht="28.8" x14ac:dyDescent="0.3">
      <c r="A176" s="11" t="s">
        <v>429</v>
      </c>
      <c r="B176" s="4" t="s">
        <v>31</v>
      </c>
      <c r="C176" s="4" t="s">
        <v>38</v>
      </c>
      <c r="D176" s="4" t="s">
        <v>47</v>
      </c>
      <c r="E176" s="4" t="s">
        <v>331</v>
      </c>
      <c r="F176" s="4" t="s">
        <v>332</v>
      </c>
      <c r="G176" s="4" t="s">
        <v>407</v>
      </c>
      <c r="H176" s="4" t="s">
        <v>430</v>
      </c>
      <c r="I176" s="9">
        <v>100000000</v>
      </c>
      <c r="J176" s="9">
        <v>60852000</v>
      </c>
      <c r="K176" s="9">
        <v>39148000</v>
      </c>
      <c r="L176" s="10">
        <v>0.60851999999999995</v>
      </c>
      <c r="M176" s="4" t="s">
        <v>80</v>
      </c>
      <c r="N176" s="4" t="s">
        <v>76</v>
      </c>
      <c r="O176" s="12" t="s">
        <v>335</v>
      </c>
    </row>
    <row r="177" spans="1:15" ht="28.8" x14ac:dyDescent="0.3">
      <c r="A177" s="11" t="s">
        <v>431</v>
      </c>
      <c r="B177" s="4" t="s">
        <v>31</v>
      </c>
      <c r="C177" s="4" t="s">
        <v>38</v>
      </c>
      <c r="D177" s="4" t="s">
        <v>48</v>
      </c>
      <c r="E177" s="4" t="s">
        <v>331</v>
      </c>
      <c r="F177" s="4" t="s">
        <v>332</v>
      </c>
      <c r="G177" s="4" t="s">
        <v>355</v>
      </c>
      <c r="H177" s="4" t="s">
        <v>384</v>
      </c>
      <c r="I177" s="9">
        <v>25000000</v>
      </c>
      <c r="J177" s="9">
        <v>20513000</v>
      </c>
      <c r="K177" s="9">
        <v>4487000</v>
      </c>
      <c r="L177" s="10">
        <v>0.82052000000000003</v>
      </c>
      <c r="M177" s="4" t="s">
        <v>75</v>
      </c>
      <c r="N177" s="4" t="s">
        <v>76</v>
      </c>
      <c r="O177" s="12" t="s">
        <v>335</v>
      </c>
    </row>
    <row r="178" spans="1:15" ht="28.8" x14ac:dyDescent="0.3">
      <c r="A178" s="11" t="s">
        <v>432</v>
      </c>
      <c r="B178" s="4" t="s">
        <v>31</v>
      </c>
      <c r="C178" s="4" t="s">
        <v>38</v>
      </c>
      <c r="D178" s="4" t="s">
        <v>51</v>
      </c>
      <c r="E178" s="4" t="s">
        <v>331</v>
      </c>
      <c r="F178" s="4" t="s">
        <v>332</v>
      </c>
      <c r="G178" s="4" t="s">
        <v>411</v>
      </c>
      <c r="H178" s="4" t="s">
        <v>412</v>
      </c>
      <c r="I178" s="9">
        <v>6343000</v>
      </c>
      <c r="J178" s="9">
        <v>7140000</v>
      </c>
      <c r="K178" s="9">
        <v>-797000</v>
      </c>
      <c r="L178" s="10">
        <v>1.125650323190919</v>
      </c>
      <c r="M178" s="4" t="s">
        <v>95</v>
      </c>
      <c r="N178" s="4" t="s">
        <v>96</v>
      </c>
      <c r="O178" s="12" t="s">
        <v>335</v>
      </c>
    </row>
    <row r="179" spans="1:15" ht="28.8" x14ac:dyDescent="0.3">
      <c r="A179" s="11" t="s">
        <v>433</v>
      </c>
      <c r="B179" s="4" t="s">
        <v>31</v>
      </c>
      <c r="C179" s="4" t="s">
        <v>38</v>
      </c>
      <c r="D179" s="4" t="s">
        <v>47</v>
      </c>
      <c r="E179" s="4" t="s">
        <v>331</v>
      </c>
      <c r="F179" s="4" t="s">
        <v>332</v>
      </c>
      <c r="G179" s="4" t="s">
        <v>358</v>
      </c>
      <c r="H179" s="4" t="s">
        <v>434</v>
      </c>
      <c r="I179" s="9">
        <v>300000000</v>
      </c>
      <c r="J179" s="9">
        <v>154015000</v>
      </c>
      <c r="K179" s="9">
        <v>145985000</v>
      </c>
      <c r="L179" s="10">
        <v>0.5133833333333333</v>
      </c>
      <c r="M179" s="4" t="s">
        <v>80</v>
      </c>
      <c r="N179" s="4" t="s">
        <v>76</v>
      </c>
      <c r="O179" s="12" t="s">
        <v>335</v>
      </c>
    </row>
    <row r="180" spans="1:15" ht="28.8" x14ac:dyDescent="0.3">
      <c r="A180" s="11" t="s">
        <v>435</v>
      </c>
      <c r="B180" s="4" t="s">
        <v>31</v>
      </c>
      <c r="C180" s="4" t="s">
        <v>38</v>
      </c>
      <c r="D180" s="4" t="s">
        <v>51</v>
      </c>
      <c r="E180" s="4" t="s">
        <v>331</v>
      </c>
      <c r="F180" s="4" t="s">
        <v>332</v>
      </c>
      <c r="G180" s="4" t="s">
        <v>378</v>
      </c>
      <c r="H180" s="4" t="s">
        <v>416</v>
      </c>
      <c r="I180" s="9">
        <v>0</v>
      </c>
      <c r="J180" s="9">
        <v>17591000</v>
      </c>
      <c r="K180" s="9">
        <v>-17591000</v>
      </c>
      <c r="L180" s="10"/>
      <c r="M180" s="4" t="s">
        <v>316</v>
      </c>
      <c r="N180" s="4" t="s">
        <v>436</v>
      </c>
      <c r="O180" s="12" t="s">
        <v>335</v>
      </c>
    </row>
    <row r="181" spans="1:15" ht="28.8" x14ac:dyDescent="0.3">
      <c r="A181" s="11" t="s">
        <v>437</v>
      </c>
      <c r="B181" s="4" t="s">
        <v>31</v>
      </c>
      <c r="C181" s="4" t="s">
        <v>38</v>
      </c>
      <c r="D181" s="4" t="s">
        <v>48</v>
      </c>
      <c r="E181" s="4" t="s">
        <v>331</v>
      </c>
      <c r="F181" s="4" t="s">
        <v>332</v>
      </c>
      <c r="G181" s="4" t="s">
        <v>375</v>
      </c>
      <c r="H181" s="4" t="s">
        <v>376</v>
      </c>
      <c r="I181" s="9">
        <v>10000</v>
      </c>
      <c r="J181" s="9">
        <v>21527000</v>
      </c>
      <c r="K181" s="9">
        <v>-21517000</v>
      </c>
      <c r="L181" s="10">
        <v>2152.6999999999998</v>
      </c>
      <c r="M181" s="4" t="s">
        <v>95</v>
      </c>
      <c r="N181" s="4" t="s">
        <v>96</v>
      </c>
      <c r="O181" s="12" t="s">
        <v>335</v>
      </c>
    </row>
    <row r="182" spans="1:15" ht="28.8" x14ac:dyDescent="0.3">
      <c r="A182" s="16" t="s">
        <v>438</v>
      </c>
      <c r="B182" s="17" t="s">
        <v>31</v>
      </c>
      <c r="C182" s="17" t="s">
        <v>38</v>
      </c>
      <c r="D182" s="17" t="s">
        <v>48</v>
      </c>
      <c r="E182" s="17" t="s">
        <v>331</v>
      </c>
      <c r="F182" s="17" t="s">
        <v>332</v>
      </c>
      <c r="G182" s="17" t="s">
        <v>361</v>
      </c>
      <c r="H182" s="17" t="s">
        <v>362</v>
      </c>
      <c r="I182" s="29">
        <v>8949000</v>
      </c>
      <c r="J182" s="29">
        <v>31190000</v>
      </c>
      <c r="K182" s="29">
        <v>-22241000</v>
      </c>
      <c r="L182" s="30">
        <v>3.485305620739747</v>
      </c>
      <c r="M182" s="17" t="s">
        <v>95</v>
      </c>
      <c r="N182" s="17" t="s">
        <v>96</v>
      </c>
      <c r="O182" s="18" t="s">
        <v>335</v>
      </c>
    </row>
  </sheetData>
  <conditionalFormatting sqref="L2:L18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workbookViewId="0">
      <pane ySplit="1" topLeftCell="A2" activePane="bottomLeft" state="frozen"/>
      <selection pane="bottomLeft" sqref="A1:H12"/>
    </sheetView>
  </sheetViews>
  <sheetFormatPr defaultRowHeight="14.4" x14ac:dyDescent="0.3"/>
  <cols>
    <col min="1" max="1" width="8.6640625" bestFit="1" customWidth="1"/>
    <col min="2" max="2" width="9.109375" bestFit="1" customWidth="1"/>
    <col min="3" max="3" width="12.109375" bestFit="1" customWidth="1"/>
    <col min="4" max="4" width="14.21875" bestFit="1" customWidth="1"/>
    <col min="5" max="5" width="14.88671875" bestFit="1" customWidth="1"/>
    <col min="6" max="6" width="17.109375" bestFit="1" customWidth="1"/>
    <col min="7" max="7" width="15.77734375" bestFit="1" customWidth="1"/>
    <col min="8" max="8" width="11" bestFit="1" customWidth="1"/>
  </cols>
  <sheetData>
    <row r="1" spans="1:8" x14ac:dyDescent="0.3">
      <c r="A1" s="19" t="s">
        <v>62</v>
      </c>
      <c r="B1" s="20" t="s">
        <v>30</v>
      </c>
      <c r="C1" s="20" t="s">
        <v>439</v>
      </c>
      <c r="D1" s="20" t="s">
        <v>42</v>
      </c>
      <c r="E1" s="20" t="s">
        <v>43</v>
      </c>
      <c r="F1" s="20" t="s">
        <v>68</v>
      </c>
      <c r="G1" s="20" t="s">
        <v>44</v>
      </c>
      <c r="H1" s="21" t="s">
        <v>440</v>
      </c>
    </row>
    <row r="2" spans="1:8" x14ac:dyDescent="0.3">
      <c r="A2" s="22" t="s">
        <v>31</v>
      </c>
      <c r="B2" s="23" t="s">
        <v>35</v>
      </c>
      <c r="C2" s="23">
        <v>11</v>
      </c>
      <c r="D2" s="23">
        <v>285210000</v>
      </c>
      <c r="E2" s="31">
        <v>133342880</v>
      </c>
      <c r="F2" s="31">
        <v>151867120</v>
      </c>
      <c r="G2" s="31">
        <v>0.4675252620875846</v>
      </c>
      <c r="H2" s="35" t="s">
        <v>99</v>
      </c>
    </row>
    <row r="3" spans="1:8" x14ac:dyDescent="0.3">
      <c r="A3" s="22" t="s">
        <v>33</v>
      </c>
      <c r="B3" s="23" t="s">
        <v>35</v>
      </c>
      <c r="C3" s="23">
        <v>12</v>
      </c>
      <c r="D3" s="23">
        <v>50375328000</v>
      </c>
      <c r="E3" s="31">
        <v>39008858000</v>
      </c>
      <c r="F3" s="31">
        <v>11366470000</v>
      </c>
      <c r="G3" s="31">
        <v>0.77436434756315631</v>
      </c>
      <c r="H3" s="35" t="s">
        <v>75</v>
      </c>
    </row>
    <row r="4" spans="1:8" x14ac:dyDescent="0.3">
      <c r="A4" s="22" t="s">
        <v>34</v>
      </c>
      <c r="B4" s="23" t="s">
        <v>35</v>
      </c>
      <c r="C4" s="23">
        <v>12</v>
      </c>
      <c r="D4" s="23">
        <v>8370000000</v>
      </c>
      <c r="E4" s="31">
        <v>7545017342</v>
      </c>
      <c r="F4" s="31">
        <v>824982658</v>
      </c>
      <c r="G4" s="31">
        <v>0.90143576367980882</v>
      </c>
      <c r="H4" s="35" t="s">
        <v>75</v>
      </c>
    </row>
    <row r="5" spans="1:8" x14ac:dyDescent="0.3">
      <c r="A5" s="22" t="s">
        <v>31</v>
      </c>
      <c r="B5" s="23" t="s">
        <v>36</v>
      </c>
      <c r="C5" s="23">
        <v>11</v>
      </c>
      <c r="D5" s="23">
        <v>300100000</v>
      </c>
      <c r="E5" s="31">
        <v>172947980</v>
      </c>
      <c r="F5" s="31">
        <v>127152020</v>
      </c>
      <c r="G5" s="31">
        <v>0.5763011662779074</v>
      </c>
      <c r="H5" s="35" t="s">
        <v>80</v>
      </c>
    </row>
    <row r="6" spans="1:8" x14ac:dyDescent="0.3">
      <c r="A6" s="22" t="s">
        <v>33</v>
      </c>
      <c r="B6" s="23" t="s">
        <v>36</v>
      </c>
      <c r="C6" s="23">
        <v>15</v>
      </c>
      <c r="D6" s="23">
        <v>20080700000</v>
      </c>
      <c r="E6" s="31">
        <v>17855096000</v>
      </c>
      <c r="F6" s="31">
        <v>2225604000</v>
      </c>
      <c r="G6" s="31">
        <v>0.88916701111017049</v>
      </c>
      <c r="H6" s="35" t="s">
        <v>75</v>
      </c>
    </row>
    <row r="7" spans="1:8" x14ac:dyDescent="0.3">
      <c r="A7" s="22" t="s">
        <v>31</v>
      </c>
      <c r="B7" s="23" t="s">
        <v>37</v>
      </c>
      <c r="C7" s="23">
        <v>14</v>
      </c>
      <c r="D7" s="23">
        <v>532574000</v>
      </c>
      <c r="E7" s="31">
        <v>340486915.63999999</v>
      </c>
      <c r="F7" s="31">
        <v>192087084.36000001</v>
      </c>
      <c r="G7" s="31">
        <v>0.63932320323560665</v>
      </c>
      <c r="H7" s="35" t="s">
        <v>80</v>
      </c>
    </row>
    <row r="8" spans="1:8" x14ac:dyDescent="0.3">
      <c r="A8" s="22" t="s">
        <v>32</v>
      </c>
      <c r="B8" s="23" t="s">
        <v>37</v>
      </c>
      <c r="C8" s="23">
        <v>41</v>
      </c>
      <c r="D8" s="23">
        <v>11803935000</v>
      </c>
      <c r="E8" s="31">
        <v>10099330195.290001</v>
      </c>
      <c r="F8" s="31">
        <v>1704604804.71</v>
      </c>
      <c r="G8" s="31">
        <v>0.85559012272517609</v>
      </c>
      <c r="H8" s="35" t="s">
        <v>75</v>
      </c>
    </row>
    <row r="9" spans="1:8" x14ac:dyDescent="0.3">
      <c r="A9" s="22" t="s">
        <v>33</v>
      </c>
      <c r="B9" s="23" t="s">
        <v>37</v>
      </c>
      <c r="C9" s="23">
        <v>17</v>
      </c>
      <c r="D9" s="23">
        <v>42048500000</v>
      </c>
      <c r="E9" s="31">
        <v>40522212000</v>
      </c>
      <c r="F9" s="31">
        <v>1526288000</v>
      </c>
      <c r="G9" s="31">
        <v>0.96370172538853938</v>
      </c>
      <c r="H9" s="35" t="s">
        <v>75</v>
      </c>
    </row>
    <row r="10" spans="1:8" x14ac:dyDescent="0.3">
      <c r="A10" s="22" t="s">
        <v>31</v>
      </c>
      <c r="B10" s="23" t="s">
        <v>38</v>
      </c>
      <c r="C10" s="23">
        <v>15</v>
      </c>
      <c r="D10" s="23">
        <v>952277000</v>
      </c>
      <c r="E10" s="31">
        <v>1169658000</v>
      </c>
      <c r="F10" s="31">
        <v>-217381000</v>
      </c>
      <c r="G10" s="31">
        <v>1.228274966212562</v>
      </c>
      <c r="H10" s="35" t="s">
        <v>95</v>
      </c>
    </row>
    <row r="11" spans="1:8" x14ac:dyDescent="0.3">
      <c r="A11" s="22" t="s">
        <v>32</v>
      </c>
      <c r="B11" s="23" t="s">
        <v>38</v>
      </c>
      <c r="C11" s="23">
        <v>18</v>
      </c>
      <c r="D11" s="23">
        <v>15063480000</v>
      </c>
      <c r="E11" s="31">
        <v>1264188842</v>
      </c>
      <c r="F11" s="31">
        <v>13799291158</v>
      </c>
      <c r="G11" s="31">
        <v>8.3924089387047346E-2</v>
      </c>
      <c r="H11" s="35" t="s">
        <v>89</v>
      </c>
    </row>
    <row r="12" spans="1:8" x14ac:dyDescent="0.3">
      <c r="A12" s="25" t="s">
        <v>33</v>
      </c>
      <c r="B12" s="26" t="s">
        <v>39</v>
      </c>
      <c r="C12" s="26">
        <v>15</v>
      </c>
      <c r="D12" s="26">
        <v>29924000000</v>
      </c>
      <c r="E12" s="33">
        <v>7876648393</v>
      </c>
      <c r="F12" s="33">
        <v>10487901607</v>
      </c>
      <c r="G12" s="33">
        <v>0.26322177492982218</v>
      </c>
      <c r="H12" s="36" t="s">
        <v>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showGridLines="0" workbookViewId="0">
      <pane ySplit="1" topLeftCell="A2" activePane="bottomLeft" state="frozen"/>
      <selection pane="bottomLeft" activeCell="F17" sqref="A1:G17"/>
    </sheetView>
  </sheetViews>
  <sheetFormatPr defaultRowHeight="14.4" x14ac:dyDescent="0.3"/>
  <cols>
    <col min="1" max="1" width="22.109375" bestFit="1" customWidth="1"/>
    <col min="2" max="2" width="12.109375" bestFit="1" customWidth="1"/>
    <col min="3" max="4" width="14.88671875" bestFit="1" customWidth="1"/>
    <col min="5" max="5" width="17.109375" bestFit="1" customWidth="1"/>
    <col min="6" max="6" width="15.77734375" bestFit="1" customWidth="1"/>
    <col min="7" max="7" width="11" bestFit="1" customWidth="1"/>
  </cols>
  <sheetData>
    <row r="1" spans="1:7" x14ac:dyDescent="0.3">
      <c r="A1" s="19" t="s">
        <v>63</v>
      </c>
      <c r="B1" s="20" t="s">
        <v>439</v>
      </c>
      <c r="C1" s="20" t="s">
        <v>42</v>
      </c>
      <c r="D1" s="20" t="s">
        <v>43</v>
      </c>
      <c r="E1" s="20" t="s">
        <v>68</v>
      </c>
      <c r="F1" s="20" t="s">
        <v>44</v>
      </c>
      <c r="G1" s="21" t="s">
        <v>440</v>
      </c>
    </row>
    <row r="2" spans="1:7" x14ac:dyDescent="0.3">
      <c r="A2" s="22" t="s">
        <v>45</v>
      </c>
      <c r="B2" s="23">
        <v>2</v>
      </c>
      <c r="C2" s="31">
        <v>46421914000</v>
      </c>
      <c r="D2" s="31">
        <v>38941431000</v>
      </c>
      <c r="E2" s="31">
        <v>7480483000</v>
      </c>
      <c r="F2" s="32">
        <v>0.83885879845454026</v>
      </c>
      <c r="G2" s="24" t="s">
        <v>75</v>
      </c>
    </row>
    <row r="3" spans="1:7" x14ac:dyDescent="0.3">
      <c r="A3" s="22" t="s">
        <v>46</v>
      </c>
      <c r="B3" s="23">
        <v>17</v>
      </c>
      <c r="C3" s="31">
        <v>26840951000</v>
      </c>
      <c r="D3" s="31">
        <v>16311105262</v>
      </c>
      <c r="E3" s="31">
        <v>10529845738</v>
      </c>
      <c r="F3" s="32">
        <v>0.60769475947405882</v>
      </c>
      <c r="G3" s="24" t="s">
        <v>80</v>
      </c>
    </row>
    <row r="4" spans="1:7" x14ac:dyDescent="0.3">
      <c r="A4" s="22" t="s">
        <v>47</v>
      </c>
      <c r="B4" s="23">
        <v>24</v>
      </c>
      <c r="C4" s="31">
        <v>23448395200</v>
      </c>
      <c r="D4" s="31">
        <v>11449758688.950001</v>
      </c>
      <c r="E4" s="31">
        <v>4495186511.0500002</v>
      </c>
      <c r="F4" s="32">
        <v>0.48829604718322051</v>
      </c>
      <c r="G4" s="24" t="s">
        <v>99</v>
      </c>
    </row>
    <row r="5" spans="1:7" x14ac:dyDescent="0.3">
      <c r="A5" s="22" t="s">
        <v>48</v>
      </c>
      <c r="B5" s="23">
        <v>51</v>
      </c>
      <c r="C5" s="31">
        <v>21780382000</v>
      </c>
      <c r="D5" s="31">
        <v>13692009418.98</v>
      </c>
      <c r="E5" s="31">
        <v>6448922581.0200005</v>
      </c>
      <c r="F5" s="32">
        <v>0.62863954447539072</v>
      </c>
      <c r="G5" s="24" t="s">
        <v>80</v>
      </c>
    </row>
    <row r="6" spans="1:7" x14ac:dyDescent="0.3">
      <c r="A6" s="22" t="s">
        <v>49</v>
      </c>
      <c r="B6" s="23">
        <v>2</v>
      </c>
      <c r="C6" s="31">
        <v>15194326000</v>
      </c>
      <c r="D6" s="31">
        <v>12988648746</v>
      </c>
      <c r="E6" s="31">
        <v>2205677254</v>
      </c>
      <c r="F6" s="32">
        <v>0.85483546594959192</v>
      </c>
      <c r="G6" s="24" t="s">
        <v>75</v>
      </c>
    </row>
    <row r="7" spans="1:7" x14ac:dyDescent="0.3">
      <c r="A7" s="22" t="s">
        <v>50</v>
      </c>
      <c r="B7" s="23">
        <v>5</v>
      </c>
      <c r="C7" s="31">
        <v>12729220520</v>
      </c>
      <c r="D7" s="31">
        <v>11280844164</v>
      </c>
      <c r="E7" s="31">
        <v>1448376356</v>
      </c>
      <c r="F7" s="32">
        <v>0.88621641413750918</v>
      </c>
      <c r="G7" s="24" t="s">
        <v>75</v>
      </c>
    </row>
    <row r="8" spans="1:7" x14ac:dyDescent="0.3">
      <c r="A8" s="22" t="s">
        <v>51</v>
      </c>
      <c r="B8" s="23">
        <v>28</v>
      </c>
      <c r="C8" s="31">
        <v>8153970000</v>
      </c>
      <c r="D8" s="31">
        <v>4018850782</v>
      </c>
      <c r="E8" s="31">
        <v>3164819218</v>
      </c>
      <c r="F8" s="32">
        <v>0.49287044004331632</v>
      </c>
      <c r="G8" s="24" t="s">
        <v>99</v>
      </c>
    </row>
    <row r="9" spans="1:7" x14ac:dyDescent="0.3">
      <c r="A9" s="22" t="s">
        <v>52</v>
      </c>
      <c r="B9" s="23">
        <v>11</v>
      </c>
      <c r="C9" s="31">
        <v>7536739400</v>
      </c>
      <c r="D9" s="31">
        <v>4313205609</v>
      </c>
      <c r="E9" s="31">
        <v>3223533791</v>
      </c>
      <c r="F9" s="32">
        <v>0.57229066577517596</v>
      </c>
      <c r="G9" s="24" t="s">
        <v>80</v>
      </c>
    </row>
    <row r="10" spans="1:7" x14ac:dyDescent="0.3">
      <c r="A10" s="22" t="s">
        <v>53</v>
      </c>
      <c r="B10" s="23">
        <v>16</v>
      </c>
      <c r="C10" s="31">
        <v>4548513700</v>
      </c>
      <c r="D10" s="31">
        <v>1489476956</v>
      </c>
      <c r="E10" s="31">
        <v>3059036744</v>
      </c>
      <c r="F10" s="32">
        <v>0.32746454209866399</v>
      </c>
      <c r="G10" s="24" t="s">
        <v>99</v>
      </c>
    </row>
    <row r="11" spans="1:7" x14ac:dyDescent="0.3">
      <c r="A11" s="22" t="s">
        <v>54</v>
      </c>
      <c r="B11" s="23">
        <v>4</v>
      </c>
      <c r="C11" s="31">
        <v>3820400000</v>
      </c>
      <c r="D11" s="31">
        <v>3079976798</v>
      </c>
      <c r="E11" s="31">
        <v>740423202</v>
      </c>
      <c r="F11" s="32">
        <v>0.80619223065647572</v>
      </c>
      <c r="G11" s="24" t="s">
        <v>75</v>
      </c>
    </row>
    <row r="12" spans="1:7" x14ac:dyDescent="0.3">
      <c r="A12" s="22" t="s">
        <v>55</v>
      </c>
      <c r="B12" s="23">
        <v>6</v>
      </c>
      <c r="C12" s="31">
        <v>3558860000</v>
      </c>
      <c r="D12" s="31">
        <v>2061407000</v>
      </c>
      <c r="E12" s="31">
        <v>1436703000</v>
      </c>
      <c r="F12" s="32">
        <v>0.5792323946432284</v>
      </c>
      <c r="G12" s="24" t="s">
        <v>80</v>
      </c>
    </row>
    <row r="13" spans="1:7" x14ac:dyDescent="0.3">
      <c r="A13" s="22" t="s">
        <v>56</v>
      </c>
      <c r="B13" s="23">
        <v>5</v>
      </c>
      <c r="C13" s="31">
        <v>3310878050</v>
      </c>
      <c r="D13" s="31">
        <v>5347662899</v>
      </c>
      <c r="E13" s="31">
        <v>-2036784849</v>
      </c>
      <c r="F13" s="32">
        <v>1.6151796648022121</v>
      </c>
      <c r="G13" s="24" t="s">
        <v>95</v>
      </c>
    </row>
    <row r="14" spans="1:7" x14ac:dyDescent="0.3">
      <c r="A14" s="22" t="s">
        <v>211</v>
      </c>
      <c r="B14" s="23">
        <v>4</v>
      </c>
      <c r="C14" s="31">
        <v>2189147180</v>
      </c>
      <c r="D14" s="31">
        <v>636028912</v>
      </c>
      <c r="E14" s="31">
        <v>167618268</v>
      </c>
      <c r="F14" s="32">
        <v>0.29053730046601978</v>
      </c>
      <c r="G14" s="24" t="s">
        <v>99</v>
      </c>
    </row>
    <row r="15" spans="1:7" x14ac:dyDescent="0.3">
      <c r="A15" s="22" t="s">
        <v>58</v>
      </c>
      <c r="B15" s="23">
        <v>2</v>
      </c>
      <c r="C15" s="31">
        <v>111806950</v>
      </c>
      <c r="D15" s="31">
        <v>69516290</v>
      </c>
      <c r="E15" s="31">
        <v>42290660</v>
      </c>
      <c r="F15" s="32">
        <v>0.62175285167871941</v>
      </c>
      <c r="G15" s="24" t="s">
        <v>80</v>
      </c>
    </row>
    <row r="16" spans="1:7" x14ac:dyDescent="0.3">
      <c r="A16" s="22" t="s">
        <v>59</v>
      </c>
      <c r="B16" s="23">
        <v>1</v>
      </c>
      <c r="C16" s="31">
        <v>80000000</v>
      </c>
      <c r="D16" s="31">
        <v>103585000</v>
      </c>
      <c r="E16" s="31">
        <v>-23585000</v>
      </c>
      <c r="F16" s="32">
        <v>1.2948124999999999</v>
      </c>
      <c r="G16" s="24" t="s">
        <v>95</v>
      </c>
    </row>
    <row r="17" spans="1:7" x14ac:dyDescent="0.3">
      <c r="A17" s="25" t="s">
        <v>60</v>
      </c>
      <c r="B17" s="26">
        <v>3</v>
      </c>
      <c r="C17" s="33">
        <v>10600000</v>
      </c>
      <c r="D17" s="33">
        <v>204279022</v>
      </c>
      <c r="E17" s="33">
        <v>-193679022</v>
      </c>
      <c r="F17" s="34">
        <v>19.271605849056598</v>
      </c>
      <c r="G17" s="27" t="s">
        <v>95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showGridLines="0" workbookViewId="0">
      <pane ySplit="1" topLeftCell="A2" activePane="bottomLeft" state="frozen"/>
      <selection pane="bottomLeft" activeCell="H19" sqref="H19"/>
    </sheetView>
  </sheetViews>
  <sheetFormatPr defaultRowHeight="14.4" x14ac:dyDescent="0.3"/>
  <cols>
    <col min="1" max="1" width="8.6640625" bestFit="1" customWidth="1"/>
    <col min="2" max="2" width="9.109375" bestFit="1" customWidth="1"/>
    <col min="3" max="3" width="12.109375" bestFit="1" customWidth="1"/>
    <col min="4" max="4" width="13.33203125" bestFit="1" customWidth="1"/>
    <col min="5" max="5" width="22.44140625" bestFit="1" customWidth="1"/>
  </cols>
  <sheetData>
    <row r="1" spans="1:5" x14ac:dyDescent="0.3">
      <c r="A1" s="28" t="s">
        <v>62</v>
      </c>
      <c r="B1" s="28" t="s">
        <v>30</v>
      </c>
      <c r="C1" s="28" t="s">
        <v>439</v>
      </c>
      <c r="D1" s="28" t="s">
        <v>441</v>
      </c>
      <c r="E1" s="28" t="s">
        <v>442</v>
      </c>
    </row>
    <row r="2" spans="1:5" x14ac:dyDescent="0.3">
      <c r="A2" s="23" t="s">
        <v>31</v>
      </c>
      <c r="B2" s="23" t="s">
        <v>35</v>
      </c>
      <c r="C2" s="23">
        <v>11</v>
      </c>
      <c r="D2" s="23" t="s">
        <v>443</v>
      </c>
      <c r="E2" s="23"/>
    </row>
    <row r="3" spans="1:5" x14ac:dyDescent="0.3">
      <c r="A3" s="23" t="s">
        <v>31</v>
      </c>
      <c r="B3" s="23" t="s">
        <v>36</v>
      </c>
      <c r="C3" s="23">
        <v>11</v>
      </c>
      <c r="D3" s="23" t="s">
        <v>443</v>
      </c>
      <c r="E3" s="23"/>
    </row>
    <row r="4" spans="1:5" x14ac:dyDescent="0.3">
      <c r="A4" s="23" t="s">
        <v>31</v>
      </c>
      <c r="B4" s="23" t="s">
        <v>37</v>
      </c>
      <c r="C4" s="23">
        <v>14</v>
      </c>
      <c r="D4" s="23" t="s">
        <v>443</v>
      </c>
      <c r="E4" s="23"/>
    </row>
    <row r="5" spans="1:5" x14ac:dyDescent="0.3">
      <c r="A5" s="23" t="s">
        <v>31</v>
      </c>
      <c r="B5" s="23" t="s">
        <v>38</v>
      </c>
      <c r="C5" s="23">
        <v>15</v>
      </c>
      <c r="D5" s="23" t="s">
        <v>443</v>
      </c>
      <c r="E5" s="23"/>
    </row>
    <row r="6" spans="1:5" x14ac:dyDescent="0.3">
      <c r="A6" s="23" t="s">
        <v>31</v>
      </c>
      <c r="B6" s="23" t="s">
        <v>39</v>
      </c>
      <c r="C6" s="23">
        <v>0</v>
      </c>
      <c r="D6" s="23" t="s">
        <v>444</v>
      </c>
      <c r="E6" s="23"/>
    </row>
    <row r="7" spans="1:5" x14ac:dyDescent="0.3">
      <c r="A7" s="23" t="s">
        <v>32</v>
      </c>
      <c r="B7" s="23" t="s">
        <v>35</v>
      </c>
      <c r="C7" s="23">
        <v>0</v>
      </c>
      <c r="D7" s="23" t="s">
        <v>444</v>
      </c>
      <c r="E7" s="23"/>
    </row>
    <row r="8" spans="1:5" x14ac:dyDescent="0.3">
      <c r="A8" s="23" t="s">
        <v>32</v>
      </c>
      <c r="B8" s="23" t="s">
        <v>36</v>
      </c>
      <c r="C8" s="23">
        <v>0</v>
      </c>
      <c r="D8" s="23" t="s">
        <v>444</v>
      </c>
      <c r="E8" s="23"/>
    </row>
    <row r="9" spans="1:5" x14ac:dyDescent="0.3">
      <c r="A9" s="23" t="s">
        <v>32</v>
      </c>
      <c r="B9" s="23" t="s">
        <v>37</v>
      </c>
      <c r="C9" s="23">
        <v>41</v>
      </c>
      <c r="D9" s="23" t="s">
        <v>443</v>
      </c>
      <c r="E9" s="23"/>
    </row>
    <row r="10" spans="1:5" x14ac:dyDescent="0.3">
      <c r="A10" s="23" t="s">
        <v>32</v>
      </c>
      <c r="B10" s="23" t="s">
        <v>38</v>
      </c>
      <c r="C10" s="23">
        <v>18</v>
      </c>
      <c r="D10" s="23" t="s">
        <v>443</v>
      </c>
      <c r="E10" s="23"/>
    </row>
    <row r="11" spans="1:5" x14ac:dyDescent="0.3">
      <c r="A11" s="23" t="s">
        <v>32</v>
      </c>
      <c r="B11" s="23" t="s">
        <v>39</v>
      </c>
      <c r="C11" s="23">
        <v>0</v>
      </c>
      <c r="D11" s="23" t="s">
        <v>444</v>
      </c>
      <c r="E11" s="23"/>
    </row>
    <row r="12" spans="1:5" x14ac:dyDescent="0.3">
      <c r="A12" s="23" t="s">
        <v>33</v>
      </c>
      <c r="B12" s="23" t="s">
        <v>35</v>
      </c>
      <c r="C12" s="23">
        <v>12</v>
      </c>
      <c r="D12" s="23" t="s">
        <v>443</v>
      </c>
      <c r="E12" s="23"/>
    </row>
    <row r="13" spans="1:5" x14ac:dyDescent="0.3">
      <c r="A13" s="23" t="s">
        <v>33</v>
      </c>
      <c r="B13" s="23" t="s">
        <v>36</v>
      </c>
      <c r="C13" s="23">
        <v>15</v>
      </c>
      <c r="D13" s="23" t="s">
        <v>443</v>
      </c>
      <c r="E13" s="23"/>
    </row>
    <row r="14" spans="1:5" x14ac:dyDescent="0.3">
      <c r="A14" s="23" t="s">
        <v>33</v>
      </c>
      <c r="B14" s="23" t="s">
        <v>37</v>
      </c>
      <c r="C14" s="23">
        <v>17</v>
      </c>
      <c r="D14" s="23" t="s">
        <v>443</v>
      </c>
      <c r="E14" s="23"/>
    </row>
    <row r="15" spans="1:5" x14ac:dyDescent="0.3">
      <c r="A15" s="23" t="s">
        <v>33</v>
      </c>
      <c r="B15" s="23" t="s">
        <v>38</v>
      </c>
      <c r="C15" s="23">
        <v>0</v>
      </c>
      <c r="D15" s="23" t="s">
        <v>444</v>
      </c>
      <c r="E15" s="23"/>
    </row>
    <row r="16" spans="1:5" x14ac:dyDescent="0.3">
      <c r="A16" s="23" t="s">
        <v>33</v>
      </c>
      <c r="B16" s="23" t="s">
        <v>39</v>
      </c>
      <c r="C16" s="23">
        <v>15</v>
      </c>
      <c r="D16" s="23" t="s">
        <v>443</v>
      </c>
      <c r="E16" s="23" t="s">
        <v>445</v>
      </c>
    </row>
    <row r="17" spans="1:5" x14ac:dyDescent="0.3">
      <c r="A17" s="23" t="s">
        <v>34</v>
      </c>
      <c r="B17" s="23" t="s">
        <v>35</v>
      </c>
      <c r="C17" s="23">
        <v>12</v>
      </c>
      <c r="D17" s="23" t="s">
        <v>443</v>
      </c>
      <c r="E17" s="23"/>
    </row>
    <row r="18" spans="1:5" x14ac:dyDescent="0.3">
      <c r="A18" s="23" t="s">
        <v>34</v>
      </c>
      <c r="B18" s="23" t="s">
        <v>36</v>
      </c>
      <c r="C18" s="23">
        <v>0</v>
      </c>
      <c r="D18" s="23" t="s">
        <v>444</v>
      </c>
      <c r="E18" s="23"/>
    </row>
    <row r="19" spans="1:5" x14ac:dyDescent="0.3">
      <c r="A19" s="23" t="s">
        <v>34</v>
      </c>
      <c r="B19" s="23" t="s">
        <v>37</v>
      </c>
      <c r="C19" s="23">
        <v>0</v>
      </c>
      <c r="D19" s="23" t="s">
        <v>444</v>
      </c>
      <c r="E19" s="23"/>
    </row>
    <row r="20" spans="1:5" x14ac:dyDescent="0.3">
      <c r="A20" s="23" t="s">
        <v>34</v>
      </c>
      <c r="B20" s="23" t="s">
        <v>38</v>
      </c>
      <c r="C20" s="23">
        <v>0</v>
      </c>
      <c r="D20" s="23" t="s">
        <v>444</v>
      </c>
      <c r="E20" s="23"/>
    </row>
    <row r="21" spans="1:5" x14ac:dyDescent="0.3">
      <c r="A21" s="23" t="s">
        <v>34</v>
      </c>
      <c r="B21" s="23" t="s">
        <v>39</v>
      </c>
      <c r="C21" s="23">
        <v>0</v>
      </c>
      <c r="D21" s="23" t="s">
        <v>444</v>
      </c>
      <c r="E21" s="23"/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5"/>
  <sheetViews>
    <sheetView showGridLines="0" workbookViewId="0">
      <pane ySplit="1" topLeftCell="A43" activePane="bottomLeft" state="frozen"/>
      <selection pane="bottomLeft" sqref="A1:E55"/>
    </sheetView>
  </sheetViews>
  <sheetFormatPr defaultRowHeight="14.4" x14ac:dyDescent="0.3"/>
  <cols>
    <col min="1" max="1" width="8.6640625" bestFit="1" customWidth="1"/>
    <col min="2" max="2" width="41.6640625" bestFit="1" customWidth="1"/>
    <col min="3" max="3" width="44.109375" bestFit="1" customWidth="1"/>
    <col min="4" max="4" width="22.109375" bestFit="1" customWidth="1"/>
    <col min="5" max="5" width="41.5546875" bestFit="1" customWidth="1"/>
  </cols>
  <sheetData>
    <row r="1" spans="1:5" x14ac:dyDescent="0.3">
      <c r="A1" s="19" t="s">
        <v>62</v>
      </c>
      <c r="B1" s="20" t="s">
        <v>446</v>
      </c>
      <c r="C1" s="20" t="s">
        <v>447</v>
      </c>
      <c r="D1" s="20" t="s">
        <v>63</v>
      </c>
      <c r="E1" s="21" t="s">
        <v>442</v>
      </c>
    </row>
    <row r="2" spans="1:5" ht="43.2" x14ac:dyDescent="0.3">
      <c r="A2" s="22" t="s">
        <v>31</v>
      </c>
      <c r="B2" s="23" t="s">
        <v>331</v>
      </c>
      <c r="C2" s="23" t="s">
        <v>448</v>
      </c>
      <c r="D2" s="23" t="s">
        <v>48</v>
      </c>
      <c r="E2" s="24" t="s">
        <v>449</v>
      </c>
    </row>
    <row r="3" spans="1:5" ht="43.2" x14ac:dyDescent="0.3">
      <c r="A3" s="22" t="s">
        <v>31</v>
      </c>
      <c r="B3" s="23" t="s">
        <v>331</v>
      </c>
      <c r="C3" s="23" t="s">
        <v>450</v>
      </c>
      <c r="D3" s="23" t="s">
        <v>51</v>
      </c>
      <c r="E3" s="24" t="s">
        <v>449</v>
      </c>
    </row>
    <row r="4" spans="1:5" ht="43.2" x14ac:dyDescent="0.3">
      <c r="A4" s="22" t="s">
        <v>31</v>
      </c>
      <c r="B4" s="23" t="s">
        <v>331</v>
      </c>
      <c r="C4" s="23" t="s">
        <v>451</v>
      </c>
      <c r="D4" s="23" t="s">
        <v>47</v>
      </c>
      <c r="E4" s="24" t="s">
        <v>449</v>
      </c>
    </row>
    <row r="5" spans="1:5" ht="43.2" x14ac:dyDescent="0.3">
      <c r="A5" s="22" t="s">
        <v>31</v>
      </c>
      <c r="B5" s="23" t="s">
        <v>331</v>
      </c>
      <c r="C5" s="23" t="s">
        <v>452</v>
      </c>
      <c r="D5" s="23" t="s">
        <v>211</v>
      </c>
      <c r="E5" s="24" t="s">
        <v>449</v>
      </c>
    </row>
    <row r="6" spans="1:5" ht="28.8" x14ac:dyDescent="0.3">
      <c r="A6" s="22" t="s">
        <v>32</v>
      </c>
      <c r="B6" s="23" t="s">
        <v>53</v>
      </c>
      <c r="C6" s="23" t="s">
        <v>453</v>
      </c>
      <c r="D6" s="23" t="s">
        <v>53</v>
      </c>
      <c r="E6" s="24" t="s">
        <v>454</v>
      </c>
    </row>
    <row r="7" spans="1:5" ht="28.8" x14ac:dyDescent="0.3">
      <c r="A7" s="22" t="s">
        <v>32</v>
      </c>
      <c r="B7" s="23" t="s">
        <v>46</v>
      </c>
      <c r="C7" s="23" t="s">
        <v>453</v>
      </c>
      <c r="D7" s="23" t="s">
        <v>46</v>
      </c>
      <c r="E7" s="24" t="s">
        <v>454</v>
      </c>
    </row>
    <row r="8" spans="1:5" ht="28.8" x14ac:dyDescent="0.3">
      <c r="A8" s="22" t="s">
        <v>32</v>
      </c>
      <c r="B8" s="23" t="s">
        <v>47</v>
      </c>
      <c r="C8" s="23" t="s">
        <v>453</v>
      </c>
      <c r="D8" s="23" t="s">
        <v>47</v>
      </c>
      <c r="E8" s="24" t="s">
        <v>454</v>
      </c>
    </row>
    <row r="9" spans="1:5" ht="28.8" x14ac:dyDescent="0.3">
      <c r="A9" s="22" t="s">
        <v>32</v>
      </c>
      <c r="B9" s="23" t="s">
        <v>51</v>
      </c>
      <c r="C9" s="23" t="s">
        <v>453</v>
      </c>
      <c r="D9" s="23" t="s">
        <v>51</v>
      </c>
      <c r="E9" s="24" t="s">
        <v>454</v>
      </c>
    </row>
    <row r="10" spans="1:5" ht="28.8" x14ac:dyDescent="0.3">
      <c r="A10" s="22" t="s">
        <v>32</v>
      </c>
      <c r="B10" s="23" t="s">
        <v>52</v>
      </c>
      <c r="C10" s="23" t="s">
        <v>453</v>
      </c>
      <c r="D10" s="23" t="s">
        <v>52</v>
      </c>
      <c r="E10" s="24" t="s">
        <v>454</v>
      </c>
    </row>
    <row r="11" spans="1:5" ht="28.8" x14ac:dyDescent="0.3">
      <c r="A11" s="22" t="s">
        <v>32</v>
      </c>
      <c r="B11" s="23" t="s">
        <v>48</v>
      </c>
      <c r="C11" s="23" t="s">
        <v>453</v>
      </c>
      <c r="D11" s="23" t="s">
        <v>48</v>
      </c>
      <c r="E11" s="24" t="s">
        <v>454</v>
      </c>
    </row>
    <row r="12" spans="1:5" ht="28.8" x14ac:dyDescent="0.3">
      <c r="A12" s="22" t="s">
        <v>33</v>
      </c>
      <c r="B12" s="23" t="s">
        <v>49</v>
      </c>
      <c r="C12" s="23" t="s">
        <v>453</v>
      </c>
      <c r="D12" s="23" t="s">
        <v>49</v>
      </c>
      <c r="E12" s="24" t="s">
        <v>454</v>
      </c>
    </row>
    <row r="13" spans="1:5" ht="28.8" x14ac:dyDescent="0.3">
      <c r="A13" s="22" t="s">
        <v>33</v>
      </c>
      <c r="B13" s="23" t="s">
        <v>293</v>
      </c>
      <c r="C13" s="23" t="s">
        <v>453</v>
      </c>
      <c r="D13" s="23" t="s">
        <v>47</v>
      </c>
      <c r="E13" s="24" t="s">
        <v>454</v>
      </c>
    </row>
    <row r="14" spans="1:5" ht="28.8" x14ac:dyDescent="0.3">
      <c r="A14" s="22" t="s">
        <v>33</v>
      </c>
      <c r="B14" s="23" t="s">
        <v>319</v>
      </c>
      <c r="C14" s="23" t="s">
        <v>453</v>
      </c>
      <c r="D14" s="23" t="s">
        <v>47</v>
      </c>
      <c r="E14" s="24" t="s">
        <v>454</v>
      </c>
    </row>
    <row r="15" spans="1:5" ht="28.8" x14ac:dyDescent="0.3">
      <c r="A15" s="22" t="s">
        <v>33</v>
      </c>
      <c r="B15" s="23" t="s">
        <v>235</v>
      </c>
      <c r="C15" s="23" t="s">
        <v>453</v>
      </c>
      <c r="D15" s="23" t="s">
        <v>51</v>
      </c>
      <c r="E15" s="24" t="s">
        <v>454</v>
      </c>
    </row>
    <row r="16" spans="1:5" ht="28.8" x14ac:dyDescent="0.3">
      <c r="A16" s="22" t="s">
        <v>33</v>
      </c>
      <c r="B16" s="23" t="s">
        <v>327</v>
      </c>
      <c r="C16" s="23" t="s">
        <v>453</v>
      </c>
      <c r="D16" s="23" t="s">
        <v>51</v>
      </c>
      <c r="E16" s="24" t="s">
        <v>454</v>
      </c>
    </row>
    <row r="17" spans="1:5" ht="28.8" x14ac:dyDescent="0.3">
      <c r="A17" s="22" t="s">
        <v>33</v>
      </c>
      <c r="B17" s="23" t="s">
        <v>270</v>
      </c>
      <c r="C17" s="23" t="s">
        <v>453</v>
      </c>
      <c r="D17" s="23" t="s">
        <v>51</v>
      </c>
      <c r="E17" s="24" t="s">
        <v>454</v>
      </c>
    </row>
    <row r="18" spans="1:5" ht="28.8" x14ac:dyDescent="0.3">
      <c r="A18" s="22" t="s">
        <v>33</v>
      </c>
      <c r="B18" s="23" t="s">
        <v>59</v>
      </c>
      <c r="C18" s="23" t="s">
        <v>453</v>
      </c>
      <c r="D18" s="23" t="s">
        <v>59</v>
      </c>
      <c r="E18" s="24" t="s">
        <v>454</v>
      </c>
    </row>
    <row r="19" spans="1:5" ht="28.8" x14ac:dyDescent="0.3">
      <c r="A19" s="22" t="s">
        <v>33</v>
      </c>
      <c r="B19" s="23" t="s">
        <v>53</v>
      </c>
      <c r="C19" s="23" t="s">
        <v>453</v>
      </c>
      <c r="D19" s="23" t="s">
        <v>53</v>
      </c>
      <c r="E19" s="24" t="s">
        <v>454</v>
      </c>
    </row>
    <row r="20" spans="1:5" ht="28.8" x14ac:dyDescent="0.3">
      <c r="A20" s="22" t="s">
        <v>33</v>
      </c>
      <c r="B20" s="23" t="s">
        <v>289</v>
      </c>
      <c r="C20" s="23" t="s">
        <v>453</v>
      </c>
      <c r="D20" s="23" t="s">
        <v>211</v>
      </c>
      <c r="E20" s="24" t="s">
        <v>454</v>
      </c>
    </row>
    <row r="21" spans="1:5" ht="28.8" x14ac:dyDescent="0.3">
      <c r="A21" s="22" t="s">
        <v>33</v>
      </c>
      <c r="B21" s="23" t="s">
        <v>258</v>
      </c>
      <c r="C21" s="23" t="s">
        <v>453</v>
      </c>
      <c r="D21" s="23" t="s">
        <v>211</v>
      </c>
      <c r="E21" s="24" t="s">
        <v>454</v>
      </c>
    </row>
    <row r="22" spans="1:5" ht="28.8" x14ac:dyDescent="0.3">
      <c r="A22" s="22" t="s">
        <v>33</v>
      </c>
      <c r="B22" s="23" t="s">
        <v>280</v>
      </c>
      <c r="C22" s="23" t="s">
        <v>453</v>
      </c>
      <c r="D22" s="23" t="s">
        <v>58</v>
      </c>
      <c r="E22" s="24" t="s">
        <v>454</v>
      </c>
    </row>
    <row r="23" spans="1:5" ht="28.8" x14ac:dyDescent="0.3">
      <c r="A23" s="22" t="s">
        <v>33</v>
      </c>
      <c r="B23" s="23" t="s">
        <v>50</v>
      </c>
      <c r="C23" s="23" t="s">
        <v>453</v>
      </c>
      <c r="D23" s="23" t="s">
        <v>50</v>
      </c>
      <c r="E23" s="24" t="s">
        <v>454</v>
      </c>
    </row>
    <row r="24" spans="1:5" ht="28.8" x14ac:dyDescent="0.3">
      <c r="A24" s="22" t="s">
        <v>33</v>
      </c>
      <c r="B24" s="23" t="s">
        <v>60</v>
      </c>
      <c r="C24" s="23" t="s">
        <v>453</v>
      </c>
      <c r="D24" s="23" t="s">
        <v>60</v>
      </c>
      <c r="E24" s="24" t="s">
        <v>454</v>
      </c>
    </row>
    <row r="25" spans="1:5" ht="28.8" x14ac:dyDescent="0.3">
      <c r="A25" s="22" t="s">
        <v>33</v>
      </c>
      <c r="B25" s="23" t="s">
        <v>56</v>
      </c>
      <c r="C25" s="23" t="s">
        <v>453</v>
      </c>
      <c r="D25" s="23" t="s">
        <v>56</v>
      </c>
      <c r="E25" s="24" t="s">
        <v>454</v>
      </c>
    </row>
    <row r="26" spans="1:5" ht="28.8" x14ac:dyDescent="0.3">
      <c r="A26" s="22" t="s">
        <v>33</v>
      </c>
      <c r="B26" s="23" t="s">
        <v>227</v>
      </c>
      <c r="C26" s="23" t="s">
        <v>453</v>
      </c>
      <c r="D26" s="23" t="s">
        <v>53</v>
      </c>
      <c r="E26" s="24" t="s">
        <v>454</v>
      </c>
    </row>
    <row r="27" spans="1:5" ht="28.8" x14ac:dyDescent="0.3">
      <c r="A27" s="22" t="s">
        <v>33</v>
      </c>
      <c r="B27" s="23" t="s">
        <v>46</v>
      </c>
      <c r="C27" s="23" t="s">
        <v>453</v>
      </c>
      <c r="D27" s="23" t="s">
        <v>46</v>
      </c>
      <c r="E27" s="24" t="s">
        <v>454</v>
      </c>
    </row>
    <row r="28" spans="1:5" ht="28.8" x14ac:dyDescent="0.3">
      <c r="A28" s="22" t="s">
        <v>33</v>
      </c>
      <c r="B28" s="23" t="s">
        <v>306</v>
      </c>
      <c r="C28" s="23" t="s">
        <v>453</v>
      </c>
      <c r="D28" s="23" t="s">
        <v>46</v>
      </c>
      <c r="E28" s="24" t="s">
        <v>454</v>
      </c>
    </row>
    <row r="29" spans="1:5" ht="28.8" x14ac:dyDescent="0.3">
      <c r="A29" s="22" t="s">
        <v>33</v>
      </c>
      <c r="B29" s="23" t="s">
        <v>225</v>
      </c>
      <c r="C29" s="23" t="s">
        <v>453</v>
      </c>
      <c r="D29" s="23" t="s">
        <v>46</v>
      </c>
      <c r="E29" s="24" t="s">
        <v>454</v>
      </c>
    </row>
    <row r="30" spans="1:5" ht="28.8" x14ac:dyDescent="0.3">
      <c r="A30" s="22" t="s">
        <v>33</v>
      </c>
      <c r="B30" s="23" t="s">
        <v>54</v>
      </c>
      <c r="C30" s="23" t="s">
        <v>453</v>
      </c>
      <c r="D30" s="23" t="s">
        <v>54</v>
      </c>
      <c r="E30" s="24" t="s">
        <v>454</v>
      </c>
    </row>
    <row r="31" spans="1:5" ht="28.8" x14ac:dyDescent="0.3">
      <c r="A31" s="22" t="s">
        <v>33</v>
      </c>
      <c r="B31" s="23" t="s">
        <v>47</v>
      </c>
      <c r="C31" s="23" t="s">
        <v>453</v>
      </c>
      <c r="D31" s="23" t="s">
        <v>47</v>
      </c>
      <c r="E31" s="24" t="s">
        <v>454</v>
      </c>
    </row>
    <row r="32" spans="1:5" ht="28.8" x14ac:dyDescent="0.3">
      <c r="A32" s="22" t="s">
        <v>33</v>
      </c>
      <c r="B32" s="23" t="s">
        <v>202</v>
      </c>
      <c r="C32" s="23" t="s">
        <v>453</v>
      </c>
      <c r="D32" s="23" t="s">
        <v>51</v>
      </c>
      <c r="E32" s="24" t="s">
        <v>454</v>
      </c>
    </row>
    <row r="33" spans="1:5" ht="28.8" x14ac:dyDescent="0.3">
      <c r="A33" s="22" t="s">
        <v>33</v>
      </c>
      <c r="B33" s="23" t="s">
        <v>324</v>
      </c>
      <c r="C33" s="23" t="s">
        <v>453</v>
      </c>
      <c r="D33" s="23" t="s">
        <v>51</v>
      </c>
      <c r="E33" s="24" t="s">
        <v>454</v>
      </c>
    </row>
    <row r="34" spans="1:5" ht="28.8" x14ac:dyDescent="0.3">
      <c r="A34" s="22" t="s">
        <v>33</v>
      </c>
      <c r="B34" s="23" t="s">
        <v>267</v>
      </c>
      <c r="C34" s="23" t="s">
        <v>453</v>
      </c>
      <c r="D34" s="23" t="s">
        <v>51</v>
      </c>
      <c r="E34" s="24" t="s">
        <v>454</v>
      </c>
    </row>
    <row r="35" spans="1:5" ht="28.8" x14ac:dyDescent="0.3">
      <c r="A35" s="22" t="s">
        <v>33</v>
      </c>
      <c r="B35" s="23" t="s">
        <v>297</v>
      </c>
      <c r="C35" s="23" t="s">
        <v>453</v>
      </c>
      <c r="D35" s="23" t="s">
        <v>51</v>
      </c>
      <c r="E35" s="24" t="s">
        <v>454</v>
      </c>
    </row>
    <row r="36" spans="1:5" ht="28.8" x14ac:dyDescent="0.3">
      <c r="A36" s="22" t="s">
        <v>33</v>
      </c>
      <c r="B36" s="23" t="s">
        <v>244</v>
      </c>
      <c r="C36" s="23" t="s">
        <v>453</v>
      </c>
      <c r="D36" s="23" t="s">
        <v>45</v>
      </c>
      <c r="E36" s="24" t="s">
        <v>454</v>
      </c>
    </row>
    <row r="37" spans="1:5" ht="28.8" x14ac:dyDescent="0.3">
      <c r="A37" s="22" t="s">
        <v>33</v>
      </c>
      <c r="B37" s="23" t="s">
        <v>238</v>
      </c>
      <c r="C37" s="23" t="s">
        <v>453</v>
      </c>
      <c r="D37" s="23" t="s">
        <v>55</v>
      </c>
      <c r="E37" s="24" t="s">
        <v>454</v>
      </c>
    </row>
    <row r="38" spans="1:5" ht="28.8" x14ac:dyDescent="0.3">
      <c r="A38" s="22" t="s">
        <v>33</v>
      </c>
      <c r="B38" s="23" t="s">
        <v>300</v>
      </c>
      <c r="C38" s="23" t="s">
        <v>453</v>
      </c>
      <c r="D38" s="23" t="s">
        <v>55</v>
      </c>
      <c r="E38" s="24" t="s">
        <v>454</v>
      </c>
    </row>
    <row r="39" spans="1:5" ht="28.8" x14ac:dyDescent="0.3">
      <c r="A39" s="22" t="s">
        <v>33</v>
      </c>
      <c r="B39" s="23" t="s">
        <v>287</v>
      </c>
      <c r="C39" s="23" t="s">
        <v>453</v>
      </c>
      <c r="D39" s="23" t="s">
        <v>55</v>
      </c>
      <c r="E39" s="24" t="s">
        <v>454</v>
      </c>
    </row>
    <row r="40" spans="1:5" ht="28.8" x14ac:dyDescent="0.3">
      <c r="A40" s="22" t="s">
        <v>33</v>
      </c>
      <c r="B40" s="23" t="s">
        <v>48</v>
      </c>
      <c r="C40" s="23" t="s">
        <v>453</v>
      </c>
      <c r="D40" s="23" t="s">
        <v>48</v>
      </c>
      <c r="E40" s="24" t="s">
        <v>454</v>
      </c>
    </row>
    <row r="41" spans="1:5" ht="28.8" x14ac:dyDescent="0.3">
      <c r="A41" s="22" t="s">
        <v>33</v>
      </c>
      <c r="B41" s="23" t="s">
        <v>321</v>
      </c>
      <c r="C41" s="23" t="s">
        <v>453</v>
      </c>
      <c r="D41" s="23" t="s">
        <v>48</v>
      </c>
      <c r="E41" s="24" t="s">
        <v>454</v>
      </c>
    </row>
    <row r="42" spans="1:5" ht="28.8" x14ac:dyDescent="0.3">
      <c r="A42" s="22" t="s">
        <v>33</v>
      </c>
      <c r="B42" s="23" t="s">
        <v>264</v>
      </c>
      <c r="C42" s="23" t="s">
        <v>453</v>
      </c>
      <c r="D42" s="23" t="s">
        <v>48</v>
      </c>
      <c r="E42" s="24" t="s">
        <v>454</v>
      </c>
    </row>
    <row r="43" spans="1:5" ht="28.8" x14ac:dyDescent="0.3">
      <c r="A43" s="22" t="s">
        <v>33</v>
      </c>
      <c r="B43" s="23" t="s">
        <v>295</v>
      </c>
      <c r="C43" s="23" t="s">
        <v>453</v>
      </c>
      <c r="D43" s="23" t="s">
        <v>48</v>
      </c>
      <c r="E43" s="24" t="s">
        <v>454</v>
      </c>
    </row>
    <row r="44" spans="1:5" ht="28.8" x14ac:dyDescent="0.3">
      <c r="A44" s="22" t="s">
        <v>34</v>
      </c>
      <c r="B44" s="23" t="s">
        <v>49</v>
      </c>
      <c r="C44" s="23" t="s">
        <v>453</v>
      </c>
      <c r="D44" s="23" t="s">
        <v>49</v>
      </c>
      <c r="E44" s="24" t="s">
        <v>454</v>
      </c>
    </row>
    <row r="45" spans="1:5" ht="28.8" x14ac:dyDescent="0.3">
      <c r="A45" s="22" t="s">
        <v>34</v>
      </c>
      <c r="B45" s="23" t="s">
        <v>53</v>
      </c>
      <c r="C45" s="23" t="s">
        <v>453</v>
      </c>
      <c r="D45" s="23" t="s">
        <v>53</v>
      </c>
      <c r="E45" s="24" t="s">
        <v>454</v>
      </c>
    </row>
    <row r="46" spans="1:5" ht="28.8" x14ac:dyDescent="0.3">
      <c r="A46" s="22" t="s">
        <v>34</v>
      </c>
      <c r="B46" s="23" t="s">
        <v>50</v>
      </c>
      <c r="C46" s="23" t="s">
        <v>453</v>
      </c>
      <c r="D46" s="23" t="s">
        <v>50</v>
      </c>
      <c r="E46" s="24" t="s">
        <v>454</v>
      </c>
    </row>
    <row r="47" spans="1:5" ht="28.8" x14ac:dyDescent="0.3">
      <c r="A47" s="22" t="s">
        <v>34</v>
      </c>
      <c r="B47" s="23" t="s">
        <v>211</v>
      </c>
      <c r="C47" s="23" t="s">
        <v>453</v>
      </c>
      <c r="D47" s="23" t="s">
        <v>211</v>
      </c>
      <c r="E47" s="24" t="s">
        <v>454</v>
      </c>
    </row>
    <row r="48" spans="1:5" ht="28.8" x14ac:dyDescent="0.3">
      <c r="A48" s="22" t="s">
        <v>34</v>
      </c>
      <c r="B48" s="23" t="s">
        <v>56</v>
      </c>
      <c r="C48" s="23" t="s">
        <v>453</v>
      </c>
      <c r="D48" s="23" t="s">
        <v>56</v>
      </c>
      <c r="E48" s="24" t="s">
        <v>454</v>
      </c>
    </row>
    <row r="49" spans="1:5" ht="28.8" x14ac:dyDescent="0.3">
      <c r="A49" s="22" t="s">
        <v>34</v>
      </c>
      <c r="B49" s="23" t="s">
        <v>46</v>
      </c>
      <c r="C49" s="23" t="s">
        <v>453</v>
      </c>
      <c r="D49" s="23" t="s">
        <v>46</v>
      </c>
      <c r="E49" s="24" t="s">
        <v>454</v>
      </c>
    </row>
    <row r="50" spans="1:5" ht="28.8" x14ac:dyDescent="0.3">
      <c r="A50" s="22" t="s">
        <v>34</v>
      </c>
      <c r="B50" s="23" t="s">
        <v>58</v>
      </c>
      <c r="C50" s="23" t="s">
        <v>453</v>
      </c>
      <c r="D50" s="23" t="s">
        <v>58</v>
      </c>
      <c r="E50" s="24" t="s">
        <v>454</v>
      </c>
    </row>
    <row r="51" spans="1:5" ht="28.8" x14ac:dyDescent="0.3">
      <c r="A51" s="22" t="s">
        <v>34</v>
      </c>
      <c r="B51" s="23" t="s">
        <v>47</v>
      </c>
      <c r="C51" s="23" t="s">
        <v>453</v>
      </c>
      <c r="D51" s="23" t="s">
        <v>47</v>
      </c>
      <c r="E51" s="24" t="s">
        <v>454</v>
      </c>
    </row>
    <row r="52" spans="1:5" ht="28.8" x14ac:dyDescent="0.3">
      <c r="A52" s="22" t="s">
        <v>34</v>
      </c>
      <c r="B52" s="23" t="s">
        <v>51</v>
      </c>
      <c r="C52" s="23" t="s">
        <v>453</v>
      </c>
      <c r="D52" s="23" t="s">
        <v>51</v>
      </c>
      <c r="E52" s="24" t="s">
        <v>454</v>
      </c>
    </row>
    <row r="53" spans="1:5" ht="28.8" x14ac:dyDescent="0.3">
      <c r="A53" s="22" t="s">
        <v>34</v>
      </c>
      <c r="B53" s="23" t="s">
        <v>199</v>
      </c>
      <c r="C53" s="23" t="s">
        <v>453</v>
      </c>
      <c r="D53" s="23" t="s">
        <v>52</v>
      </c>
      <c r="E53" s="24" t="s">
        <v>454</v>
      </c>
    </row>
    <row r="54" spans="1:5" ht="28.8" x14ac:dyDescent="0.3">
      <c r="A54" s="22" t="s">
        <v>34</v>
      </c>
      <c r="B54" s="23" t="s">
        <v>55</v>
      </c>
      <c r="C54" s="23" t="s">
        <v>453</v>
      </c>
      <c r="D54" s="23" t="s">
        <v>55</v>
      </c>
      <c r="E54" s="24" t="s">
        <v>454</v>
      </c>
    </row>
    <row r="55" spans="1:5" ht="28.8" x14ac:dyDescent="0.3">
      <c r="A55" s="25" t="s">
        <v>34</v>
      </c>
      <c r="B55" s="26" t="s">
        <v>48</v>
      </c>
      <c r="C55" s="26" t="s">
        <v>453</v>
      </c>
      <c r="D55" s="26" t="s">
        <v>48</v>
      </c>
      <c r="E55" s="27" t="s">
        <v>454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showGridLines="0" workbookViewId="0">
      <pane ySplit="1" topLeftCell="A2" activePane="bottomLeft" state="frozen"/>
      <selection pane="bottomLeft" activeCell="C7" sqref="A1:D8"/>
    </sheetView>
  </sheetViews>
  <sheetFormatPr defaultRowHeight="14.4" x14ac:dyDescent="0.3"/>
  <cols>
    <col min="1" max="1" width="10.5546875" bestFit="1" customWidth="1"/>
    <col min="2" max="2" width="20.33203125" bestFit="1" customWidth="1"/>
    <col min="3" max="3" width="98.21875" bestFit="1" customWidth="1"/>
    <col min="4" max="4" width="12.21875" bestFit="1" customWidth="1"/>
  </cols>
  <sheetData>
    <row r="1" spans="1:4" x14ac:dyDescent="0.3">
      <c r="A1" s="19" t="s">
        <v>455</v>
      </c>
      <c r="B1" s="20" t="s">
        <v>456</v>
      </c>
      <c r="C1" s="20" t="s">
        <v>457</v>
      </c>
      <c r="D1" s="21" t="s">
        <v>458</v>
      </c>
    </row>
    <row r="2" spans="1:4" ht="28.8" x14ac:dyDescent="0.3">
      <c r="A2" s="22" t="s">
        <v>33</v>
      </c>
      <c r="B2" s="23" t="s">
        <v>459</v>
      </c>
      <c r="C2" s="23" t="s">
        <v>460</v>
      </c>
      <c r="D2" s="24" t="s">
        <v>80</v>
      </c>
    </row>
    <row r="3" spans="1:4" ht="28.8" x14ac:dyDescent="0.3">
      <c r="A3" s="22" t="s">
        <v>461</v>
      </c>
      <c r="B3" s="23" t="s">
        <v>462</v>
      </c>
      <c r="C3" s="23" t="s">
        <v>463</v>
      </c>
      <c r="D3" s="24" t="s">
        <v>80</v>
      </c>
    </row>
    <row r="4" spans="1:4" ht="28.8" x14ac:dyDescent="0.3">
      <c r="A4" s="22" t="s">
        <v>32</v>
      </c>
      <c r="B4" s="23" t="s">
        <v>464</v>
      </c>
      <c r="C4" s="23" t="s">
        <v>465</v>
      </c>
      <c r="D4" s="24" t="s">
        <v>466</v>
      </c>
    </row>
    <row r="5" spans="1:4" ht="28.8" x14ac:dyDescent="0.3">
      <c r="A5" s="22" t="s">
        <v>34</v>
      </c>
      <c r="B5" s="23" t="s">
        <v>467</v>
      </c>
      <c r="C5" s="23" t="s">
        <v>468</v>
      </c>
      <c r="D5" s="24" t="s">
        <v>80</v>
      </c>
    </row>
    <row r="6" spans="1:4" x14ac:dyDescent="0.3">
      <c r="A6" s="22" t="s">
        <v>31</v>
      </c>
      <c r="B6" s="23" t="s">
        <v>467</v>
      </c>
      <c r="C6" s="23" t="s">
        <v>469</v>
      </c>
      <c r="D6" s="24" t="s">
        <v>80</v>
      </c>
    </row>
    <row r="7" spans="1:4" ht="28.8" x14ac:dyDescent="0.3">
      <c r="A7" s="22" t="s">
        <v>33</v>
      </c>
      <c r="B7" s="23" t="s">
        <v>470</v>
      </c>
      <c r="C7" s="23" t="s">
        <v>471</v>
      </c>
      <c r="D7" s="24" t="s">
        <v>80</v>
      </c>
    </row>
    <row r="8" spans="1:4" ht="28.8" x14ac:dyDescent="0.3">
      <c r="A8" s="25" t="s">
        <v>472</v>
      </c>
      <c r="B8" s="26" t="s">
        <v>473</v>
      </c>
      <c r="C8" s="26" t="s">
        <v>474</v>
      </c>
      <c r="D8" s="27" t="s">
        <v>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Master_Data</vt:lpstr>
      <vt:lpstr>City_Year_Summary</vt:lpstr>
      <vt:lpstr>Category_Summary</vt:lpstr>
      <vt:lpstr>Coverage</vt:lpstr>
      <vt:lpstr>Category_Map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mohsin mansoori</cp:lastModifiedBy>
  <dcterms:created xsi:type="dcterms:W3CDTF">2026-08-31T11:20:38Z</dcterms:created>
  <dcterms:modified xsi:type="dcterms:W3CDTF">2026-08-31T11:52:57Z</dcterms:modified>
</cp:coreProperties>
</file>